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o3o__\Downloads\2023-06-main\2023-06-main\99_参考資料\"/>
    </mc:Choice>
  </mc:AlternateContent>
  <xr:revisionPtr revIDLastSave="0" documentId="13_ncr:1_{DAC51462-9D8A-411B-B897-41B8C464A7C7}" xr6:coauthVersionLast="47" xr6:coauthVersionMax="47" xr10:uidLastSave="{00000000-0000-0000-0000-000000000000}"/>
  <bookViews>
    <workbookView xWindow="-108" yWindow="-108" windowWidth="23256" windowHeight="12456" xr2:uid="{00000000-000D-0000-FFFF-FFFF00000000}"/>
  </bookViews>
  <sheets>
    <sheet name="レビュー指摘一覧" sheetId="11" r:id="rId1"/>
    <sheet name="参考" sheetId="16" r:id="rId2"/>
  </sheets>
  <definedNames>
    <definedName name="_xlnm._FilterDatabase" localSheetId="0" hidden="1">レビュー指摘一覧!$A$3:$Q$679</definedName>
  </definedNames>
  <calcPr calcId="191029"/>
</workbook>
</file>

<file path=xl/calcChain.xml><?xml version="1.0" encoding="utf-8"?>
<calcChain xmlns="http://schemas.openxmlformats.org/spreadsheetml/2006/main">
  <c r="A20" i="11" l="1"/>
  <c r="A19" i="11"/>
  <c r="A18" i="11"/>
  <c r="A17" i="11"/>
  <c r="A16" i="11"/>
  <c r="A15" i="11"/>
  <c r="A14" i="11"/>
  <c r="A13" i="11"/>
  <c r="A12" i="11"/>
  <c r="A11" i="11"/>
  <c r="A10" i="11"/>
  <c r="A9" i="11"/>
  <c r="A8" i="11"/>
  <c r="A7" i="11"/>
  <c r="A6" i="11"/>
  <c r="A5" i="11"/>
  <c r="C10" i="16"/>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<sst xmlns="http://schemas.openxmlformats.org/spreadsheetml/2006/main" count="258" uniqueCount="145">
  <si>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</si>
  <si>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</si>
  <si>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</si>
  <si>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</si>
  <si>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</si>
  <si>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</si>
  <si>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</si>
  <si>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</si>
  <si>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</si>
  <si>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</si>
  <si>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</si>
  <si>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</si>
  <si>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</si>
  <si>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</si>
  <si>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</si>
  <si>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</si>
  <si>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</si>
  <si>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</si>
  <si>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</si>
  <si>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</si>
  <si>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</si>
  <si>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</si>
  <si>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</si>
  <si>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</si>
  <si>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</si>
  <si>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</si>
  <si>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</si>
  <si>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</si>
  <si>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</si>
  <si>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</si>
  <si>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</si>
  <si>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</si>
  <si>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</si>
  <si>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</si>
  <si>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</si>
  <si>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</si>
  <si>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</si>
  <si>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</si>
  <si>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</si>
  <si>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</si>
  <si>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</si>
  <si>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</si>
  <si>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</si>
  <si>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</si>
  <si>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</si>
  <si>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</si>
  <si>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</si>
  <si>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K001</t>
    <phoneticPr fontId="1"/>
  </si>
  <si>
    <t>勤怠承認詳細画面</t>
    <phoneticPr fontId="1"/>
  </si>
  <si>
    <t>チーム2</t>
  </si>
  <si>
    <t>張</t>
    <rPh sb="0" eb="1">
      <t>チョウ</t>
    </rPh>
    <phoneticPr fontId="1"/>
  </si>
  <si>
    <t>9:その他</t>
  </si>
  <si>
    <t>低</t>
    <rPh sb="0" eb="1">
      <t>テイ</t>
    </rPh>
    <phoneticPr fontId="1"/>
  </si>
  <si>
    <t>画面項目</t>
    <phoneticPr fontId="1"/>
  </si>
  <si>
    <t>該当画面に項目が全て表示項目ですから、必須の属性を設定できません。</t>
    <rPh sb="0" eb="2">
      <t>ガイトウ</t>
    </rPh>
    <rPh sb="2" eb="4">
      <t>ガメン</t>
    </rPh>
    <rPh sb="5" eb="7">
      <t>コウモク</t>
    </rPh>
    <rPh sb="8" eb="9">
      <t>スベ</t>
    </rPh>
    <rPh sb="10" eb="12">
      <t>ヒョウジ</t>
    </rPh>
    <rPh sb="12" eb="14">
      <t>コウモク</t>
    </rPh>
    <rPh sb="19" eb="21">
      <t>ヒッス</t>
    </rPh>
    <rPh sb="22" eb="24">
      <t>ゾクセイ</t>
    </rPh>
    <rPh sb="25" eb="27">
      <t>セッテイ</t>
    </rPh>
    <phoneticPr fontId="1"/>
  </si>
  <si>
    <t>K005</t>
  </si>
  <si>
    <t>勤怠情報登録・更新</t>
  </si>
  <si>
    <t>知野</t>
  </si>
  <si>
    <t>1:プログラム誤り</t>
  </si>
  <si>
    <t>中</t>
  </si>
  <si>
    <t>イベント処理</t>
  </si>
  <si>
    <t>更新モードの場合、入力された社員IDと日付で抽出しましょう。</t>
  </si>
  <si>
    <t>抽出条件が多すぎる</t>
  </si>
  <si>
    <t>入力された社員IDと日付が同じかつ、削除フラグが0の場合に抽出します。</t>
  </si>
  <si>
    <t>新規作成時</t>
  </si>
  <si>
    <t>K001</t>
  </si>
  <si>
    <t>勤怠承認一覧画面</t>
  </si>
  <si>
    <t>陳</t>
  </si>
  <si>
    <t>低</t>
  </si>
  <si>
    <t>画面項目</t>
  </si>
  <si>
    <t>示す内容に勤務年月を設定しないので、追加してください</t>
  </si>
  <si>
    <t>　</t>
  </si>
  <si>
    <t>勤怠情報一覧（月別）</t>
  </si>
  <si>
    <t>ジョウ</t>
  </si>
  <si>
    <t>使用するテーブルは勤怠実績ではなく、勤怠年月です。</t>
  </si>
  <si>
    <t>勤怠年月に修正した</t>
  </si>
  <si>
    <t>抽出項目、テーブル</t>
  </si>
  <si>
    <t>K002</t>
  </si>
  <si>
    <t>社員情報修正</t>
  </si>
  <si>
    <t>劉金澤</t>
  </si>
  <si>
    <t>9.そのほか</t>
  </si>
  <si>
    <t>’氏名’と’所属’の入力は　必須　項目にする必要です。</t>
  </si>
  <si>
    <t>’氏名’と’所属’はnot null</t>
  </si>
  <si>
    <t>’氏名’と’所属’を必須に設定し、例外をthrowしました。</t>
  </si>
  <si>
    <t>G001</t>
  </si>
  <si>
    <t>ログイン画面</t>
  </si>
  <si>
    <t>高菁雨</t>
  </si>
  <si>
    <t>ログアウトのボタンが不要です。</t>
  </si>
  <si>
    <t>必要がないです。</t>
  </si>
  <si>
    <t>ログアウトのボタンと処理を削除しました。</t>
  </si>
  <si>
    <t>ｋ001</t>
  </si>
  <si>
    <t>勤怠承認詳細画面</t>
  </si>
  <si>
    <t>日付をリンクします。</t>
  </si>
  <si>
    <t>毎日出勤情報見えます。</t>
  </si>
  <si>
    <t>リンクにしました。</t>
  </si>
  <si>
    <t>勤怠情報一覧（日別）</t>
  </si>
  <si>
    <t>長島凱斗</t>
  </si>
  <si>
    <t>削除処理を追加してください</t>
  </si>
  <si>
    <t>削除処理がない</t>
  </si>
  <si>
    <t>削除処理を追加</t>
  </si>
  <si>
    <t>陳晨</t>
    <rPh sb="0" eb="2">
      <t>チンシン</t>
    </rPh>
    <phoneticPr fontId="1"/>
  </si>
  <si>
    <t>高</t>
    <rPh sb="0" eb="1">
      <t>タカ</t>
    </rPh>
    <phoneticPr fontId="1"/>
  </si>
  <si>
    <t>該当画面の名称と分類が不適切</t>
    <rPh sb="5" eb="7">
      <t>メイショウ</t>
    </rPh>
    <rPh sb="11" eb="14">
      <t>フテキセツ</t>
    </rPh>
    <phoneticPr fontId="1"/>
  </si>
  <si>
    <t>理解不足で他の項目を入れました。</t>
    <rPh sb="0" eb="2">
      <t>リカイ</t>
    </rPh>
    <rPh sb="2" eb="4">
      <t>フソク</t>
    </rPh>
    <rPh sb="5" eb="6">
      <t>ホカ</t>
    </rPh>
    <rPh sb="10" eb="11">
      <t>イ</t>
    </rPh>
    <phoneticPr fontId="1"/>
  </si>
  <si>
    <t>不適切な項目を削除し、再作成します。</t>
    <rPh sb="7" eb="9">
      <t>サクジョ</t>
    </rPh>
    <rPh sb="11" eb="14">
      <t>サイサクセイ</t>
    </rPh>
    <phoneticPr fontId="1"/>
  </si>
  <si>
    <t>施</t>
    <rPh sb="0" eb="1">
      <t>シ</t>
    </rPh>
    <phoneticPr fontId="1"/>
  </si>
  <si>
    <t>高</t>
    <rPh sb="0" eb="1">
      <t>コウ</t>
    </rPh>
    <phoneticPr fontId="1"/>
  </si>
  <si>
    <t>イベント処理</t>
    <rPh sb="4" eb="6">
      <t>ショリ</t>
    </rPh>
    <phoneticPr fontId="1"/>
  </si>
  <si>
    <t>不必要な記述と記載漏れ</t>
    <rPh sb="0" eb="3">
      <t>フヒツヨウ</t>
    </rPh>
    <rPh sb="4" eb="6">
      <t>キジュツ</t>
    </rPh>
    <rPh sb="7" eb="9">
      <t>キサイ</t>
    </rPh>
    <rPh sb="9" eb="10">
      <t>モ</t>
    </rPh>
    <phoneticPr fontId="1"/>
  </si>
  <si>
    <t>理解不足により、記載漏れが発生し、不要な記載しました。</t>
    <rPh sb="0" eb="2">
      <t>リカイ</t>
    </rPh>
    <rPh sb="2" eb="4">
      <t>フソク</t>
    </rPh>
    <rPh sb="8" eb="10">
      <t>キサイ</t>
    </rPh>
    <rPh sb="10" eb="11">
      <t>モ</t>
    </rPh>
    <rPh sb="13" eb="15">
      <t>ハッセイ</t>
    </rPh>
    <rPh sb="17" eb="19">
      <t>フヨウ</t>
    </rPh>
    <rPh sb="20" eb="22">
      <t>キサイ</t>
    </rPh>
    <phoneticPr fontId="1"/>
  </si>
  <si>
    <t>不要な部分を削除して、内容を追加して、再作成します。</t>
    <rPh sb="0" eb="2">
      <t>フヨウ</t>
    </rPh>
    <rPh sb="3" eb="5">
      <t>ブブン</t>
    </rPh>
    <rPh sb="6" eb="8">
      <t>サクジョ</t>
    </rPh>
    <rPh sb="11" eb="13">
      <t>ナイヨウ</t>
    </rPh>
    <rPh sb="14" eb="16">
      <t>ツイカ</t>
    </rPh>
    <rPh sb="19" eb="22">
      <t>サイサクセイ</t>
    </rPh>
    <phoneticPr fontId="1"/>
  </si>
  <si>
    <t>林松</t>
  </si>
  <si>
    <t>張</t>
  </si>
  <si>
    <t>抽出項目の完成してません</t>
  </si>
  <si>
    <t>他人でファイルを参考し、修正します。</t>
  </si>
  <si>
    <t>チーム２</t>
  </si>
  <si>
    <t>画面制御、抽出項目、抽出条件、数値判定を修正</t>
  </si>
  <si>
    <t>IO関連図、画面アイテム、イベント処理を修正</t>
  </si>
  <si>
    <t>陳　委芹</t>
  </si>
  <si>
    <t>LSH</t>
  </si>
  <si>
    <t>イスンヒョン</t>
  </si>
  <si>
    <t>低</t>
    <rPh sb="0" eb="1">
      <t>ヒク</t>
    </rPh>
    <phoneticPr fontId="1"/>
  </si>
  <si>
    <t>画面イメージ</t>
  </si>
  <si>
    <t>14行目のテーブルが12月以上あります。12月以上はいらないので下の部分は削除お願い致します。</t>
  </si>
  <si>
    <t>制作ミス。</t>
    <rPh sb="0" eb="2">
      <t>セイサク</t>
    </rPh>
    <phoneticPr fontId="1"/>
  </si>
  <si>
    <t>設計書を修正致しました。</t>
    <rPh sb="0" eb="3">
      <t>セッケイショ</t>
    </rPh>
    <rPh sb="4" eb="6">
      <t>シュウセイ</t>
    </rPh>
    <rPh sb="6" eb="7">
      <t>イタ</t>
    </rPh>
    <phoneticPr fontId="1"/>
  </si>
  <si>
    <t>社員情報一覧</t>
  </si>
  <si>
    <t>IO関連</t>
  </si>
  <si>
    <t>パラメータ一覧、テーブル一覧</t>
  </si>
  <si>
    <t>内容の補足、修正</t>
  </si>
  <si>
    <t>賈則慧</t>
  </si>
  <si>
    <t>　　　　　　　検索条件エリア、検索結果エリア</t>
  </si>
  <si>
    <t>初期表示処理、検索ボタンクリック処理</t>
  </si>
  <si>
    <t>勤怠登録修正詳細画面</t>
  </si>
  <si>
    <t>壮　壮</t>
    <rPh sb="0" eb="1">
      <t>チョウ</t>
    </rPh>
    <phoneticPr fontId="1"/>
  </si>
  <si>
    <t>高</t>
    <rPh sb="0" eb="1">
      <t>テイ</t>
    </rPh>
    <phoneticPr fontId="1"/>
  </si>
  <si>
    <t>ロックアウトボダン設定してないので、イベント処理の部分にロックアウトボダンをクリック処理も書きました。</t>
  </si>
  <si>
    <t>考え不足で、設定してない物も書きました</t>
  </si>
  <si>
    <t>ロックアウトボダンをクリック処理の部分削除されました</t>
  </si>
  <si>
    <t>壮壮</t>
  </si>
  <si>
    <t>勤怠承一覧画面</t>
  </si>
  <si>
    <t>陳晨</t>
  </si>
  <si>
    <t>K021</t>
  </si>
  <si>
    <t>社員情報登録・更新</t>
  </si>
  <si>
    <t>イベント処理の抽出項目はまだ変更必要です。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</si>
</sst>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 numFmtId="185" formatCode="yyyy/m/d;@"/>
  </numFmts>
  <fonts count="49">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000000"/>
      <name val="ＭＳ Ｐゴシック"/>
      <family val="3"/>
      <charset val="128"/>
    </font>
    <font>
      <sz val="11"/>
      <color rgb="FF444444"/>
      <name val="Meiryo UI"/>
      <family val="3"/>
      <charset val="128"/>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
      <patternFill patternType="solid">
        <fgColor theme="0" tint="-0.14999847407452621"/>
        <bgColor indexed="64"/>
      </patternFill>
    </fill>
  </fills>
  <borders count="29">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55">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0" fontId="22" fillId="29" borderId="5" xfId="2" applyFont="1" applyFill="1" applyBorder="1" applyAlignment="1">
      <alignment horizontal="center" vertical="center" wrapText="1" shrinkToFit="1"/>
    </xf>
    <xf numFmtId="0" fontId="4" fillId="30" borderId="26" xfId="2" applyFill="1" applyBorder="1" applyAlignment="1">
      <alignment horizontal="center" vertical="center"/>
    </xf>
    <xf numFmtId="0" fontId="4" fillId="30" borderId="26" xfId="2" applyFill="1" applyBorder="1" applyAlignment="1">
      <alignment vertical="center"/>
    </xf>
    <xf numFmtId="0" fontId="4" fillId="30" borderId="26" xfId="2" applyFill="1" applyBorder="1" applyAlignment="1">
      <alignment horizontal="center" vertical="center" wrapText="1"/>
    </xf>
    <xf numFmtId="0" fontId="4" fillId="30" borderId="26" xfId="2" applyFill="1" applyBorder="1" applyAlignment="1">
      <alignment vertical="center" wrapText="1"/>
    </xf>
    <xf numFmtId="14" fontId="4" fillId="30" borderId="26" xfId="2" applyNumberFormat="1" applyFill="1" applyBorder="1" applyAlignment="1">
      <alignment vertical="center" wrapText="1"/>
    </xf>
    <xf numFmtId="0" fontId="0" fillId="30" borderId="26" xfId="2" applyFont="1" applyFill="1" applyBorder="1" applyAlignment="1">
      <alignment horizontal="center" vertical="center" wrapText="1"/>
    </xf>
    <xf numFmtId="0" fontId="0" fillId="30" borderId="26" xfId="2" applyFont="1" applyFill="1" applyBorder="1" applyAlignment="1">
      <alignment vertical="center" wrapText="1"/>
    </xf>
    <xf numFmtId="0" fontId="4" fillId="30" borderId="5" xfId="2" applyFill="1" applyBorder="1" applyAlignment="1">
      <alignment vertical="center" wrapText="1"/>
    </xf>
    <xf numFmtId="176" fontId="4" fillId="30" borderId="5" xfId="2" applyNumberFormat="1" applyFill="1" applyBorder="1" applyAlignment="1">
      <alignment horizontal="center" vertical="center"/>
    </xf>
    <xf numFmtId="0" fontId="4" fillId="30" borderId="5" xfId="2" applyFill="1" applyBorder="1" applyAlignment="1">
      <alignment horizontal="center" vertical="center"/>
    </xf>
    <xf numFmtId="176" fontId="4" fillId="30" borderId="26" xfId="2" applyNumberFormat="1" applyFill="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7" xfId="0" applyFont="1" applyBorder="1" applyAlignment="1">
      <alignment horizontal="center"/>
    </xf>
    <xf numFmtId="0" fontId="2" fillId="0" borderId="28" xfId="0" applyFont="1" applyBorder="1" applyAlignment="1">
      <alignment horizontal="center"/>
    </xf>
    <xf numFmtId="185" fontId="4" fillId="0" borderId="5" xfId="2" applyNumberFormat="1" applyBorder="1" applyAlignment="1">
      <alignment vertical="center" wrapText="1"/>
    </xf>
    <xf numFmtId="185" fontId="4" fillId="0" borderId="5" xfId="2" applyNumberFormat="1" applyBorder="1" applyAlignment="1">
      <alignment horizontal="center" vertical="center"/>
    </xf>
    <xf numFmtId="0" fontId="0" fillId="0" borderId="5" xfId="2" applyFont="1" applyBorder="1" applyAlignment="1">
      <alignment horizontal="center" vertical="center"/>
    </xf>
    <xf numFmtId="0" fontId="0" fillId="0" borderId="5" xfId="2" applyFont="1" applyBorder="1" applyAlignment="1">
      <alignment vertical="center"/>
    </xf>
    <xf numFmtId="0" fontId="0" fillId="0" borderId="5" xfId="2" applyFont="1" applyBorder="1" applyAlignment="1">
      <alignment horizontal="center" vertical="center" wrapText="1"/>
    </xf>
    <xf numFmtId="0" fontId="0" fillId="0" borderId="5" xfId="2" applyFont="1" applyBorder="1" applyAlignment="1">
      <alignment vertical="center" wrapText="1"/>
    </xf>
    <xf numFmtId="185" fontId="0" fillId="0" borderId="5" xfId="2" applyNumberFormat="1" applyFont="1" applyBorder="1" applyAlignment="1">
      <alignment vertical="center" wrapText="1"/>
    </xf>
    <xf numFmtId="185" fontId="0" fillId="0" borderId="5" xfId="2" applyNumberFormat="1" applyFont="1" applyBorder="1" applyAlignment="1">
      <alignment horizontal="center" vertical="center"/>
    </xf>
    <xf numFmtId="176" fontId="0" fillId="0" borderId="5" xfId="2" applyNumberFormat="1" applyFont="1" applyBorder="1" applyAlignment="1">
      <alignment horizontal="center" vertical="center"/>
    </xf>
    <xf numFmtId="14" fontId="4" fillId="0" borderId="5" xfId="2" applyNumberFormat="1" applyBorder="1" applyAlignment="1">
      <alignment vertical="center" wrapText="1"/>
    </xf>
    <xf numFmtId="0" fontId="47" fillId="0" borderId="0" xfId="0" applyFont="1"/>
    <xf numFmtId="0" fontId="48" fillId="0" borderId="0" xfId="0" applyFont="1"/>
  </cellXfs>
  <cellStyles count="96">
    <cellStyle name="_ET_STYLE_NoName_-97_" xfId="1" xr:uid="{00000000-0005-0000-0000-000000000000}"/>
    <cellStyle name="0,0_x000d__x000a_NA_x000d__x000a_" xfId="2" xr:uid="{00000000-0005-0000-0000-000001000000}"/>
    <cellStyle name="121" xfId="3" xr:uid="{00000000-0005-0000-0000-000002000000}"/>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xr:uid="{00000000-0005-0000-0000-00003D000000}"/>
    <cellStyle name="スタイル 2" xfId="63" xr:uid="{00000000-0005-0000-0000-00003E000000}"/>
    <cellStyle name="センター" xfId="64" xr:uid="{00000000-0005-0000-0000-00003F000000}"/>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xr:uid="{00000000-0005-0000-0000-000044000000}"/>
    <cellStyle name="リンク セル" xfId="70" builtinId="24" customBuiltin="1"/>
    <cellStyle name="悪い" xfId="71" builtinId="27" customBuiltin="1"/>
    <cellStyle name="下点線" xfId="72" xr:uid="{00000000-0005-0000-0000-000047000000}"/>
    <cellStyle name="型番" xfId="73" xr:uid="{00000000-0005-0000-0000-000048000000}"/>
    <cellStyle name="計算" xfId="74" builtinId="22" customBuiltin="1"/>
    <cellStyle name="警告文" xfId="75" builtinId="11" customBuiltin="1"/>
    <cellStyle name="桁蟻唇Ｆ [0.00]_DATA" xfId="76" xr:uid="{00000000-0005-0000-0000-00004B000000}"/>
    <cellStyle name="桁蟻唇Ｆ_DATA" xfId="77" xr:uid="{00000000-0005-0000-0000-00004C000000}"/>
    <cellStyle name="桁区切? [0.00]" xfId="78" xr:uid="{00000000-0005-0000-0000-00004D000000}"/>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xr:uid="{00000000-0005-0000-0000-000054000000}"/>
    <cellStyle name="説明文" xfId="86" builtinId="53" customBuiltin="1"/>
    <cellStyle name="脱浦 [0.00]_~0007176" xfId="87" xr:uid="{00000000-0005-0000-0000-000056000000}"/>
    <cellStyle name="脱浦_~0007176" xfId="88" xr:uid="{00000000-0005-0000-0000-000057000000}"/>
    <cellStyle name="入力" xfId="89" builtinId="20" customBuiltin="1"/>
    <cellStyle name="汎用" xfId="90" xr:uid="{00000000-0005-0000-0000-000059000000}"/>
    <cellStyle name="標準" xfId="0" builtinId="0"/>
    <cellStyle name="標準 2" xfId="91" xr:uid="{00000000-0005-0000-0000-00005B000000}"/>
    <cellStyle name="表旨巧・・ハイパーリンク" xfId="92" xr:uid="{00000000-0005-0000-0000-00005C000000}"/>
    <cellStyle name="未定義" xfId="93" xr:uid="{00000000-0005-0000-0000-00005D000000}"/>
    <cellStyle name="良い" xfId="94" builtinId="26"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Q680"/>
  <sheetViews>
    <sheetView tabSelected="1" zoomScaleNormal="100" workbookViewId="0">
      <pane ySplit="3" topLeftCell="A4" activePane="bottomLeft" state="frozen"/>
      <selection pane="bottomLeft" activeCell="A6" sqref="A6:A20"/>
    </sheetView>
  </sheetViews>
  <sheetFormatPr defaultRowHeight="13.2"/>
  <cols>
    <col min="1" max="1" width="4.44140625" customWidth="1"/>
    <col min="2" max="2" width="8" style="5" customWidth="1"/>
    <col min="3" max="3" width="13.5546875" customWidth="1"/>
    <col min="4" max="4" width="8" style="5" customWidth="1"/>
    <col min="5" max="5" width="8.109375" style="5" customWidth="1"/>
    <col min="6" max="7" width="10.109375" customWidth="1"/>
    <col min="8" max="8" width="13.109375" style="5" customWidth="1"/>
    <col min="9" max="9" width="6.21875" style="5" customWidth="1"/>
    <col min="10" max="10" width="15.44140625" style="5" customWidth="1"/>
    <col min="11" max="11" width="45.44140625" customWidth="1"/>
    <col min="12" max="12" width="19.44140625" customWidth="1"/>
    <col min="13" max="13" width="35" customWidth="1"/>
    <col min="14" max="14" width="11.109375" bestFit="1" customWidth="1"/>
    <col min="15" max="15" width="11" style="9" customWidth="1"/>
    <col min="16" max="16" width="10.21875" style="5" customWidth="1"/>
    <col min="17" max="17" width="10.5546875" style="5" customWidth="1"/>
  </cols>
  <sheetData>
    <row r="1" spans="1:17">
      <c r="A1" s="22"/>
      <c r="B1" s="22"/>
      <c r="C1" s="22"/>
      <c r="D1" s="22"/>
      <c r="E1" s="22"/>
      <c r="F1" s="22"/>
      <c r="G1" s="22"/>
      <c r="H1" s="22"/>
      <c r="I1" s="22"/>
      <c r="J1" s="22"/>
      <c r="K1" s="22"/>
      <c r="L1" s="22"/>
      <c r="M1" s="22"/>
      <c r="N1" s="22"/>
      <c r="O1" s="23"/>
      <c r="P1" s="22"/>
      <c r="Q1" s="22"/>
    </row>
    <row r="2" spans="1:17">
      <c r="A2" s="37" t="s">
        <v>1</v>
      </c>
      <c r="B2" s="39" t="s">
        <v>35</v>
      </c>
      <c r="C2" s="39" t="s">
        <v>36</v>
      </c>
      <c r="D2" s="39" t="s">
        <v>0</v>
      </c>
      <c r="E2" s="37" t="s">
        <v>37</v>
      </c>
      <c r="F2" s="37" t="s">
        <v>38</v>
      </c>
      <c r="G2" s="37" t="s">
        <v>39</v>
      </c>
      <c r="H2" s="39" t="s">
        <v>30</v>
      </c>
      <c r="I2" s="37" t="s">
        <v>31</v>
      </c>
      <c r="J2" s="37" t="s">
        <v>40</v>
      </c>
      <c r="K2" s="37"/>
      <c r="L2" s="38" t="s">
        <v>43</v>
      </c>
      <c r="M2" s="38"/>
      <c r="N2" s="38"/>
      <c r="O2" s="40" t="s">
        <v>32</v>
      </c>
      <c r="P2" s="38" t="s">
        <v>33</v>
      </c>
      <c r="Q2" s="37" t="s">
        <v>34</v>
      </c>
    </row>
    <row r="3" spans="1:17" ht="38.25" customHeight="1">
      <c r="A3" s="37"/>
      <c r="B3" s="39"/>
      <c r="C3" s="39"/>
      <c r="D3" s="39"/>
      <c r="E3" s="37"/>
      <c r="F3" s="37"/>
      <c r="G3" s="37"/>
      <c r="H3" s="39"/>
      <c r="I3" s="37"/>
      <c r="J3" s="19" t="s">
        <v>41</v>
      </c>
      <c r="K3" s="24" t="s">
        <v>42</v>
      </c>
      <c r="L3" s="25" t="s">
        <v>46</v>
      </c>
      <c r="M3" s="25" t="s">
        <v>44</v>
      </c>
      <c r="N3" s="25" t="s">
        <v>45</v>
      </c>
      <c r="O3" s="40"/>
      <c r="P3" s="38"/>
      <c r="Q3" s="37"/>
    </row>
    <row r="4" spans="1:17" s="1" customFormat="1" ht="26.4">
      <c r="A4" s="26">
        <v>1</v>
      </c>
      <c r="B4" s="26" t="s">
        <v>47</v>
      </c>
      <c r="C4" s="27" t="s">
        <v>48</v>
      </c>
      <c r="D4" s="28">
        <v>1</v>
      </c>
      <c r="E4" s="28" t="s">
        <v>49</v>
      </c>
      <c r="F4" s="29" t="s">
        <v>50</v>
      </c>
      <c r="G4" s="30">
        <v>45086</v>
      </c>
      <c r="H4" s="28" t="s">
        <v>51</v>
      </c>
      <c r="I4" s="28" t="s">
        <v>52</v>
      </c>
      <c r="J4" s="31" t="s">
        <v>53</v>
      </c>
      <c r="K4" s="32" t="s">
        <v>54</v>
      </c>
      <c r="L4" s="33"/>
      <c r="M4" s="33"/>
      <c r="N4" s="33"/>
      <c r="O4" s="34"/>
      <c r="P4" s="35"/>
      <c r="Q4" s="36" t="s">
        <v>50</v>
      </c>
    </row>
    <row r="5" spans="1:17" s="1" customFormat="1" ht="26.4">
      <c r="A5" s="4">
        <f>ROW()-3</f>
        <v>2</v>
      </c>
      <c r="B5" s="4" t="s">
        <v>55</v>
      </c>
      <c r="C5" s="2" t="s">
        <v>56</v>
      </c>
      <c r="D5" s="6">
        <v>1</v>
      </c>
      <c r="E5" s="6" t="s">
        <v>57</v>
      </c>
      <c r="F5" s="3" t="s">
        <v>57</v>
      </c>
      <c r="G5" s="43">
        <v>45090</v>
      </c>
      <c r="H5" s="6" t="s">
        <v>58</v>
      </c>
      <c r="I5" s="4" t="s">
        <v>59</v>
      </c>
      <c r="J5" s="4" t="s">
        <v>60</v>
      </c>
      <c r="K5" s="3" t="s">
        <v>61</v>
      </c>
      <c r="L5" s="3" t="s">
        <v>62</v>
      </c>
      <c r="M5" s="3" t="s">
        <v>63</v>
      </c>
      <c r="N5" s="3" t="s">
        <v>57</v>
      </c>
      <c r="O5" s="44">
        <v>45090</v>
      </c>
      <c r="P5" s="4" t="s">
        <v>64</v>
      </c>
      <c r="Q5" s="7" t="s">
        <v>57</v>
      </c>
    </row>
    <row r="6" spans="1:17" s="1" customFormat="1" ht="26.4">
      <c r="A6" s="4">
        <f t="shared" ref="A6:A20" si="0">ROW()-3</f>
        <v>3</v>
      </c>
      <c r="B6" s="45" t="s">
        <v>65</v>
      </c>
      <c r="C6" s="46" t="s">
        <v>66</v>
      </c>
      <c r="D6" s="47">
        <v>1</v>
      </c>
      <c r="E6" s="48" t="s">
        <v>67</v>
      </c>
      <c r="F6" s="48" t="s">
        <v>67</v>
      </c>
      <c r="G6" s="49">
        <v>45086</v>
      </c>
      <c r="H6" s="47" t="s">
        <v>51</v>
      </c>
      <c r="I6" s="45" t="s">
        <v>68</v>
      </c>
      <c r="J6" s="45" t="s">
        <v>69</v>
      </c>
      <c r="K6" s="48" t="s">
        <v>70</v>
      </c>
      <c r="L6" s="48" t="s">
        <v>71</v>
      </c>
      <c r="M6" s="48" t="s">
        <v>71</v>
      </c>
      <c r="N6" s="48" t="s">
        <v>71</v>
      </c>
      <c r="O6" s="50" t="s">
        <v>71</v>
      </c>
      <c r="P6" s="45" t="s">
        <v>71</v>
      </c>
      <c r="Q6" s="51" t="s">
        <v>67</v>
      </c>
    </row>
    <row r="7" spans="1:17" s="1" customFormat="1" ht="26.4">
      <c r="A7" s="4">
        <f t="shared" si="0"/>
        <v>4</v>
      </c>
      <c r="B7" s="4" t="s">
        <v>65</v>
      </c>
      <c r="C7" s="2" t="s">
        <v>72</v>
      </c>
      <c r="D7" s="6">
        <v>1</v>
      </c>
      <c r="E7" s="6" t="s">
        <v>73</v>
      </c>
      <c r="F7" s="3" t="s">
        <v>73</v>
      </c>
      <c r="G7" s="52">
        <v>45086</v>
      </c>
      <c r="H7" s="6" t="s">
        <v>51</v>
      </c>
      <c r="I7" s="4" t="s">
        <v>59</v>
      </c>
      <c r="J7" s="4" t="s">
        <v>60</v>
      </c>
      <c r="K7" s="3" t="s">
        <v>74</v>
      </c>
      <c r="L7" s="3" t="s">
        <v>75</v>
      </c>
      <c r="M7" s="3" t="s">
        <v>76</v>
      </c>
      <c r="N7" s="3" t="s">
        <v>73</v>
      </c>
      <c r="O7" s="44">
        <v>45086</v>
      </c>
      <c r="P7" s="4"/>
      <c r="Q7" s="7" t="s">
        <v>73</v>
      </c>
    </row>
    <row r="8" spans="1:17" s="1" customFormat="1" ht="26.4">
      <c r="A8" s="4">
        <f t="shared" si="0"/>
        <v>5</v>
      </c>
      <c r="B8" s="4" t="s">
        <v>77</v>
      </c>
      <c r="C8" s="2" t="s">
        <v>78</v>
      </c>
      <c r="D8" s="6">
        <v>1</v>
      </c>
      <c r="E8" s="6" t="s">
        <v>79</v>
      </c>
      <c r="F8" s="3" t="s">
        <v>79</v>
      </c>
      <c r="G8" s="52">
        <v>45090</v>
      </c>
      <c r="H8" s="6" t="s">
        <v>80</v>
      </c>
      <c r="I8" s="4" t="s">
        <v>68</v>
      </c>
      <c r="J8" s="4" t="s">
        <v>69</v>
      </c>
      <c r="K8" s="3" t="s">
        <v>81</v>
      </c>
      <c r="L8" s="53" t="s">
        <v>82</v>
      </c>
      <c r="M8" s="3" t="s">
        <v>83</v>
      </c>
      <c r="N8" s="3" t="s">
        <v>79</v>
      </c>
      <c r="O8" s="44">
        <v>45091</v>
      </c>
      <c r="P8" s="4"/>
      <c r="Q8" s="7" t="s">
        <v>79</v>
      </c>
    </row>
    <row r="9" spans="1:17" s="1" customFormat="1" ht="15">
      <c r="A9" s="4">
        <f t="shared" si="0"/>
        <v>6</v>
      </c>
      <c r="B9" s="4" t="s">
        <v>84</v>
      </c>
      <c r="C9" s="2" t="s">
        <v>85</v>
      </c>
      <c r="D9" s="6">
        <v>1</v>
      </c>
      <c r="E9" s="6" t="s">
        <v>86</v>
      </c>
      <c r="F9" s="3" t="s">
        <v>86</v>
      </c>
      <c r="G9" s="52">
        <v>45091</v>
      </c>
      <c r="H9" s="6" t="s">
        <v>80</v>
      </c>
      <c r="I9" s="4" t="s">
        <v>68</v>
      </c>
      <c r="J9" s="4" t="s">
        <v>69</v>
      </c>
      <c r="K9" s="3" t="s">
        <v>87</v>
      </c>
      <c r="L9" s="3" t="s">
        <v>88</v>
      </c>
      <c r="M9" s="54" t="s">
        <v>89</v>
      </c>
      <c r="N9" s="3" t="s">
        <v>86</v>
      </c>
      <c r="O9" s="44">
        <v>45092</v>
      </c>
      <c r="P9" s="4"/>
      <c r="Q9" s="7" t="s">
        <v>86</v>
      </c>
    </row>
    <row r="10" spans="1:17" s="1" customFormat="1" ht="26.4">
      <c r="A10" s="4">
        <f t="shared" si="0"/>
        <v>7</v>
      </c>
      <c r="B10" s="4" t="s">
        <v>90</v>
      </c>
      <c r="C10" s="2" t="s">
        <v>91</v>
      </c>
      <c r="D10" s="6">
        <v>1</v>
      </c>
      <c r="E10" s="6" t="s">
        <v>86</v>
      </c>
      <c r="F10" s="3" t="s">
        <v>86</v>
      </c>
      <c r="G10" s="52">
        <v>45092</v>
      </c>
      <c r="H10" s="6" t="s">
        <v>80</v>
      </c>
      <c r="I10" s="4" t="s">
        <v>68</v>
      </c>
      <c r="J10" s="4" t="s">
        <v>69</v>
      </c>
      <c r="K10" s="3" t="s">
        <v>92</v>
      </c>
      <c r="L10" s="3" t="s">
        <v>93</v>
      </c>
      <c r="M10" s="3" t="s">
        <v>94</v>
      </c>
      <c r="N10" s="3" t="s">
        <v>86</v>
      </c>
      <c r="O10" s="44">
        <v>45093</v>
      </c>
      <c r="P10" s="4"/>
      <c r="Q10" s="7" t="s">
        <v>86</v>
      </c>
    </row>
    <row r="11" spans="1:17" s="1" customFormat="1" ht="26.4">
      <c r="A11" s="4">
        <f t="shared" si="0"/>
        <v>8</v>
      </c>
      <c r="B11" s="4" t="s">
        <v>65</v>
      </c>
      <c r="C11" s="2" t="s">
        <v>95</v>
      </c>
      <c r="D11" s="6">
        <v>1</v>
      </c>
      <c r="E11" s="6" t="s">
        <v>96</v>
      </c>
      <c r="F11" s="3" t="s">
        <v>96</v>
      </c>
      <c r="G11" s="52">
        <v>45091</v>
      </c>
      <c r="H11" s="6" t="s">
        <v>80</v>
      </c>
      <c r="I11" s="4" t="s">
        <v>68</v>
      </c>
      <c r="J11" s="4" t="s">
        <v>60</v>
      </c>
      <c r="K11" s="3" t="s">
        <v>97</v>
      </c>
      <c r="L11" s="3" t="s">
        <v>98</v>
      </c>
      <c r="M11" s="3" t="s">
        <v>99</v>
      </c>
      <c r="N11" s="3" t="s">
        <v>96</v>
      </c>
      <c r="O11" s="44">
        <v>45091</v>
      </c>
      <c r="P11" s="4"/>
      <c r="Q11" s="7" t="s">
        <v>96</v>
      </c>
    </row>
    <row r="12" spans="1:17" s="1" customFormat="1" ht="26.4">
      <c r="A12" s="4">
        <f t="shared" si="0"/>
        <v>9</v>
      </c>
      <c r="B12" s="4" t="s">
        <v>65</v>
      </c>
      <c r="C12" s="2" t="s">
        <v>140</v>
      </c>
      <c r="D12" s="6">
        <v>2</v>
      </c>
      <c r="E12" s="6" t="s">
        <v>49</v>
      </c>
      <c r="F12" s="3" t="s">
        <v>100</v>
      </c>
      <c r="G12" s="52">
        <v>45086</v>
      </c>
      <c r="H12" s="6" t="s">
        <v>51</v>
      </c>
      <c r="I12" s="4" t="s">
        <v>101</v>
      </c>
      <c r="J12" s="4" t="s">
        <v>69</v>
      </c>
      <c r="K12" s="3" t="s">
        <v>102</v>
      </c>
      <c r="L12" s="3" t="s">
        <v>103</v>
      </c>
      <c r="M12" s="3" t="s">
        <v>104</v>
      </c>
      <c r="N12" s="3" t="s">
        <v>141</v>
      </c>
      <c r="O12" s="44">
        <v>45086</v>
      </c>
      <c r="P12" s="4" t="s">
        <v>69</v>
      </c>
      <c r="Q12" s="7" t="s">
        <v>100</v>
      </c>
    </row>
    <row r="13" spans="1:17" s="1" customFormat="1" ht="39.6">
      <c r="A13" s="4">
        <f t="shared" si="0"/>
        <v>10</v>
      </c>
      <c r="B13" s="4" t="s">
        <v>142</v>
      </c>
      <c r="C13" s="2" t="s">
        <v>143</v>
      </c>
      <c r="D13" s="6">
        <v>2</v>
      </c>
      <c r="E13" s="6" t="s">
        <v>49</v>
      </c>
      <c r="F13" s="3" t="s">
        <v>105</v>
      </c>
      <c r="G13" s="52">
        <v>45086</v>
      </c>
      <c r="H13" s="6" t="s">
        <v>51</v>
      </c>
      <c r="I13" s="4" t="s">
        <v>106</v>
      </c>
      <c r="J13" s="4" t="s">
        <v>107</v>
      </c>
      <c r="K13" s="3" t="s">
        <v>108</v>
      </c>
      <c r="L13" s="3" t="s">
        <v>109</v>
      </c>
      <c r="M13" s="3" t="s">
        <v>110</v>
      </c>
      <c r="N13" s="3" t="s">
        <v>105</v>
      </c>
      <c r="O13" s="44">
        <v>45087</v>
      </c>
      <c r="P13" s="4" t="s">
        <v>107</v>
      </c>
      <c r="Q13" s="7" t="s">
        <v>105</v>
      </c>
    </row>
    <row r="14" spans="1:17" s="1" customFormat="1" ht="26.4">
      <c r="A14" s="4">
        <f t="shared" si="0"/>
        <v>11</v>
      </c>
      <c r="B14" s="4" t="s">
        <v>77</v>
      </c>
      <c r="C14" s="2" t="s">
        <v>95</v>
      </c>
      <c r="D14" s="6">
        <v>2</v>
      </c>
      <c r="E14" s="6" t="s">
        <v>111</v>
      </c>
      <c r="F14" s="3" t="s">
        <v>112</v>
      </c>
      <c r="G14" s="52">
        <v>45086</v>
      </c>
      <c r="H14" s="6" t="s">
        <v>51</v>
      </c>
      <c r="I14" s="4" t="s">
        <v>68</v>
      </c>
      <c r="J14" s="4" t="s">
        <v>69</v>
      </c>
      <c r="K14" s="3" t="s">
        <v>144</v>
      </c>
      <c r="L14" s="3" t="s">
        <v>113</v>
      </c>
      <c r="M14" s="3" t="s">
        <v>114</v>
      </c>
      <c r="N14" s="3" t="s">
        <v>111</v>
      </c>
      <c r="O14" s="44">
        <v>45089</v>
      </c>
      <c r="P14" s="4" t="s">
        <v>69</v>
      </c>
      <c r="Q14" s="7" t="s">
        <v>111</v>
      </c>
    </row>
    <row r="15" spans="1:17" s="1" customFormat="1" ht="26.4">
      <c r="A15" s="4">
        <f t="shared" si="0"/>
        <v>12</v>
      </c>
      <c r="B15" s="4" t="s">
        <v>65</v>
      </c>
      <c r="C15" s="2" t="s">
        <v>85</v>
      </c>
      <c r="D15" s="6">
        <v>2</v>
      </c>
      <c r="E15" s="6" t="s">
        <v>115</v>
      </c>
      <c r="F15" s="3" t="s">
        <v>50</v>
      </c>
      <c r="G15" s="52">
        <v>45086</v>
      </c>
      <c r="H15" s="6" t="s">
        <v>51</v>
      </c>
      <c r="I15" s="4" t="s">
        <v>52</v>
      </c>
      <c r="J15" s="4" t="s">
        <v>60</v>
      </c>
      <c r="K15" s="3" t="s">
        <v>116</v>
      </c>
      <c r="L15" s="3" t="s">
        <v>25</v>
      </c>
      <c r="M15" s="3" t="s">
        <v>117</v>
      </c>
      <c r="N15" s="3" t="s">
        <v>118</v>
      </c>
      <c r="O15" s="44">
        <v>45089</v>
      </c>
      <c r="P15" s="4" t="s">
        <v>60</v>
      </c>
      <c r="Q15" s="7" t="s">
        <v>50</v>
      </c>
    </row>
    <row r="16" spans="1:17" s="1" customFormat="1" ht="26.4">
      <c r="A16" s="4">
        <f t="shared" si="0"/>
        <v>13</v>
      </c>
      <c r="B16" s="4" t="s">
        <v>119</v>
      </c>
      <c r="C16" s="2" t="s">
        <v>119</v>
      </c>
      <c r="D16" s="6">
        <v>2</v>
      </c>
      <c r="E16" s="6" t="s">
        <v>49</v>
      </c>
      <c r="F16" s="3" t="s">
        <v>120</v>
      </c>
      <c r="G16" s="52">
        <v>45086</v>
      </c>
      <c r="H16" s="6" t="s">
        <v>51</v>
      </c>
      <c r="I16" s="4" t="s">
        <v>121</v>
      </c>
      <c r="J16" s="4" t="s">
        <v>122</v>
      </c>
      <c r="K16" s="3" t="s">
        <v>123</v>
      </c>
      <c r="L16" s="3" t="s">
        <v>124</v>
      </c>
      <c r="M16" s="3" t="s">
        <v>125</v>
      </c>
      <c r="N16" s="3" t="s">
        <v>120</v>
      </c>
      <c r="O16" s="44">
        <v>45089</v>
      </c>
      <c r="P16" s="4" t="s">
        <v>122</v>
      </c>
      <c r="Q16" s="7" t="s">
        <v>120</v>
      </c>
    </row>
    <row r="17" spans="1:17" s="1" customFormat="1">
      <c r="A17" s="4">
        <f t="shared" si="0"/>
        <v>14</v>
      </c>
      <c r="B17" s="4" t="s">
        <v>65</v>
      </c>
      <c r="C17" s="2" t="s">
        <v>126</v>
      </c>
      <c r="D17" s="6">
        <v>1</v>
      </c>
      <c r="E17" s="6" t="s">
        <v>49</v>
      </c>
      <c r="F17" s="3" t="s">
        <v>50</v>
      </c>
      <c r="G17" s="52">
        <v>45086</v>
      </c>
      <c r="H17" s="6" t="s">
        <v>51</v>
      </c>
      <c r="I17" s="4" t="s">
        <v>52</v>
      </c>
      <c r="J17" s="4" t="s">
        <v>127</v>
      </c>
      <c r="K17" s="3" t="s">
        <v>128</v>
      </c>
      <c r="L17" s="3" t="s">
        <v>25</v>
      </c>
      <c r="M17" s="3" t="s">
        <v>129</v>
      </c>
      <c r="N17" s="3" t="s">
        <v>130</v>
      </c>
      <c r="O17" s="44">
        <v>45089</v>
      </c>
      <c r="P17" s="4"/>
      <c r="Q17" s="7" t="s">
        <v>130</v>
      </c>
    </row>
    <row r="18" spans="1:17" s="1" customFormat="1">
      <c r="A18" s="4">
        <f t="shared" si="0"/>
        <v>15</v>
      </c>
      <c r="B18" s="4" t="s">
        <v>65</v>
      </c>
      <c r="C18" s="2" t="s">
        <v>126</v>
      </c>
      <c r="D18" s="6">
        <v>1</v>
      </c>
      <c r="E18" s="6" t="s">
        <v>49</v>
      </c>
      <c r="F18" s="3" t="s">
        <v>50</v>
      </c>
      <c r="G18" s="52">
        <v>45086</v>
      </c>
      <c r="H18" s="6" t="s">
        <v>51</v>
      </c>
      <c r="I18" s="4" t="s">
        <v>52</v>
      </c>
      <c r="J18" s="4" t="s">
        <v>69</v>
      </c>
      <c r="K18" s="3" t="s">
        <v>131</v>
      </c>
      <c r="L18" s="3" t="s">
        <v>25</v>
      </c>
      <c r="M18" s="3" t="s">
        <v>129</v>
      </c>
      <c r="N18" s="3" t="s">
        <v>130</v>
      </c>
      <c r="O18" s="44">
        <v>45089</v>
      </c>
      <c r="P18" s="4"/>
      <c r="Q18" s="7" t="s">
        <v>130</v>
      </c>
    </row>
    <row r="19" spans="1:17" s="1" customFormat="1">
      <c r="A19" s="4">
        <f t="shared" si="0"/>
        <v>16</v>
      </c>
      <c r="B19" s="4" t="s">
        <v>65</v>
      </c>
      <c r="C19" s="2" t="s">
        <v>126</v>
      </c>
      <c r="D19" s="6">
        <v>1</v>
      </c>
      <c r="E19" s="6" t="s">
        <v>49</v>
      </c>
      <c r="F19" s="3" t="s">
        <v>50</v>
      </c>
      <c r="G19" s="52">
        <v>45086</v>
      </c>
      <c r="H19" s="6" t="s">
        <v>51</v>
      </c>
      <c r="I19" s="4" t="s">
        <v>52</v>
      </c>
      <c r="J19" s="4" t="s">
        <v>60</v>
      </c>
      <c r="K19" s="3" t="s">
        <v>132</v>
      </c>
      <c r="L19" s="3" t="s">
        <v>25</v>
      </c>
      <c r="M19" s="3" t="s">
        <v>129</v>
      </c>
      <c r="N19" s="3" t="s">
        <v>130</v>
      </c>
      <c r="O19" s="44">
        <v>45089</v>
      </c>
      <c r="P19" s="4"/>
      <c r="Q19" s="7" t="s">
        <v>130</v>
      </c>
    </row>
    <row r="20" spans="1:17" s="1" customFormat="1" ht="26.4">
      <c r="A20" s="4">
        <f t="shared" si="0"/>
        <v>17</v>
      </c>
      <c r="B20" s="4" t="s">
        <v>65</v>
      </c>
      <c r="C20" s="2" t="s">
        <v>133</v>
      </c>
      <c r="D20" s="6">
        <v>1</v>
      </c>
      <c r="E20" s="6" t="s">
        <v>49</v>
      </c>
      <c r="F20" s="3" t="s">
        <v>134</v>
      </c>
      <c r="G20" s="52">
        <v>45090</v>
      </c>
      <c r="H20" s="6" t="s">
        <v>51</v>
      </c>
      <c r="I20" s="4" t="s">
        <v>135</v>
      </c>
      <c r="J20" s="4" t="s">
        <v>60</v>
      </c>
      <c r="K20" s="3" t="s">
        <v>136</v>
      </c>
      <c r="L20" s="3" t="s">
        <v>137</v>
      </c>
      <c r="M20" s="3" t="s">
        <v>138</v>
      </c>
      <c r="N20" s="3" t="s">
        <v>139</v>
      </c>
      <c r="O20" s="44">
        <v>45090</v>
      </c>
      <c r="P20" s="4" t="s">
        <v>60</v>
      </c>
      <c r="Q20" s="7" t="s">
        <v>139</v>
      </c>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3"/>
      <c r="G228" s="3"/>
      <c r="H228" s="6"/>
      <c r="I228" s="4"/>
      <c r="J228" s="4"/>
      <c r="K228" s="3"/>
      <c r="L228" s="3"/>
      <c r="M228" s="3"/>
      <c r="N228" s="3"/>
      <c r="O228" s="7"/>
      <c r="P228" s="4"/>
      <c r="Q228" s="7"/>
    </row>
    <row r="229" spans="1:17" s="1" customFormat="1">
      <c r="A229" s="4"/>
      <c r="B229" s="4"/>
      <c r="C229" s="2"/>
      <c r="D229" s="6"/>
      <c r="E229" s="6"/>
      <c r="F229" s="3"/>
      <c r="G229" s="3"/>
      <c r="H229" s="6"/>
      <c r="I229" s="4"/>
      <c r="J229" s="4"/>
      <c r="K229" s="3"/>
      <c r="L229" s="3"/>
      <c r="M229" s="3"/>
      <c r="N229" s="3"/>
      <c r="O229" s="7"/>
      <c r="P229" s="4"/>
      <c r="Q229" s="7"/>
    </row>
    <row r="230" spans="1:17" s="1" customFormat="1">
      <c r="A230" s="4"/>
      <c r="B230" s="4"/>
      <c r="C230" s="2"/>
      <c r="D230" s="6"/>
      <c r="E230" s="6"/>
      <c r="F230" s="3"/>
      <c r="G230" s="3"/>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20"/>
      <c r="G238" s="20"/>
      <c r="H238" s="6"/>
      <c r="I238" s="4"/>
      <c r="J238" s="4"/>
      <c r="K238" s="3"/>
      <c r="L238" s="3"/>
      <c r="M238" s="3"/>
      <c r="N238" s="3"/>
      <c r="O238" s="7"/>
      <c r="P238" s="4"/>
      <c r="Q238" s="7"/>
    </row>
    <row r="239" spans="1:17" s="1" customFormat="1">
      <c r="A239" s="4"/>
      <c r="B239" s="4"/>
      <c r="C239" s="2"/>
      <c r="D239" s="6"/>
      <c r="E239" s="6"/>
      <c r="F239" s="20"/>
      <c r="G239" s="20"/>
      <c r="H239" s="6"/>
      <c r="I239" s="4"/>
      <c r="J239" s="4"/>
      <c r="K239" s="3"/>
      <c r="L239" s="3"/>
      <c r="M239" s="3"/>
      <c r="N239" s="3"/>
      <c r="O239" s="7"/>
      <c r="P239" s="4"/>
      <c r="Q239" s="7"/>
    </row>
    <row r="240" spans="1:17" s="1" customFormat="1">
      <c r="A240" s="4"/>
      <c r="B240" s="4"/>
      <c r="C240" s="2"/>
      <c r="D240" s="6"/>
      <c r="E240" s="6"/>
      <c r="F240" s="20"/>
      <c r="G240" s="20"/>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3"/>
      <c r="G272" s="3"/>
      <c r="H272" s="6"/>
      <c r="I272" s="4"/>
      <c r="J272" s="4"/>
      <c r="K272" s="3"/>
      <c r="L272" s="3"/>
      <c r="M272" s="3"/>
      <c r="N272" s="3"/>
      <c r="O272" s="7"/>
      <c r="P272" s="4"/>
      <c r="Q272" s="7"/>
    </row>
    <row r="273" spans="1:17" s="1" customFormat="1">
      <c r="A273" s="4"/>
      <c r="B273" s="4"/>
      <c r="C273" s="2"/>
      <c r="D273" s="6"/>
      <c r="E273" s="6"/>
      <c r="F273" s="3"/>
      <c r="G273" s="3"/>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20"/>
      <c r="G282" s="20"/>
      <c r="H282" s="6"/>
      <c r="I282" s="4"/>
      <c r="J282" s="4"/>
      <c r="K282" s="3"/>
      <c r="L282" s="3"/>
      <c r="M282" s="3"/>
      <c r="N282" s="3"/>
      <c r="O282" s="7"/>
      <c r="P282" s="4"/>
      <c r="Q282" s="7"/>
    </row>
    <row r="283" spans="1:17" s="1" customFormat="1">
      <c r="A283" s="4"/>
      <c r="B283" s="4"/>
      <c r="C283" s="2"/>
      <c r="D283" s="6"/>
      <c r="E283" s="6"/>
      <c r="F283" s="21"/>
      <c r="G283" s="21"/>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3"/>
      <c r="G321" s="3"/>
      <c r="H321" s="6"/>
      <c r="I321" s="4"/>
      <c r="J321" s="4"/>
      <c r="K321" s="3"/>
      <c r="L321" s="3"/>
      <c r="M321" s="3"/>
      <c r="N321" s="3"/>
      <c r="O321" s="7"/>
      <c r="P321" s="4"/>
      <c r="Q321" s="7"/>
    </row>
    <row r="322" spans="1:17" s="1" customFormat="1">
      <c r="A322" s="4"/>
      <c r="B322" s="4"/>
      <c r="C322" s="2"/>
      <c r="D322" s="6"/>
      <c r="E322" s="6"/>
      <c r="F322" s="3"/>
      <c r="G322" s="3"/>
      <c r="H322" s="6"/>
      <c r="I322" s="4"/>
      <c r="J322" s="4"/>
      <c r="K322" s="3"/>
      <c r="L322" s="3"/>
      <c r="M322" s="3"/>
      <c r="N322" s="3"/>
      <c r="O322" s="7"/>
      <c r="P322" s="4"/>
      <c r="Q322" s="7"/>
    </row>
    <row r="323" spans="1:17" s="1" customFormat="1">
      <c r="A323" s="4"/>
      <c r="B323" s="4"/>
      <c r="C323" s="2"/>
      <c r="D323" s="6"/>
      <c r="E323" s="6"/>
      <c r="F323" s="3"/>
      <c r="G323" s="3"/>
      <c r="H323" s="6"/>
      <c r="I323" s="4"/>
      <c r="J323" s="4"/>
      <c r="K323" s="3"/>
      <c r="L323" s="3"/>
      <c r="M323" s="3"/>
      <c r="N323" s="3"/>
      <c r="O323" s="7"/>
      <c r="P323" s="4"/>
      <c r="Q323" s="7"/>
    </row>
    <row r="324" spans="1:17" s="1" customFormat="1">
      <c r="A324" s="4"/>
      <c r="B324" s="4"/>
      <c r="C324" s="2"/>
      <c r="D324" s="6"/>
      <c r="E324" s="6"/>
      <c r="F324" s="3"/>
      <c r="G324" s="3"/>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7"/>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20"/>
      <c r="G331" s="20"/>
      <c r="H331" s="6"/>
      <c r="I331" s="4"/>
      <c r="J331" s="4"/>
      <c r="K331" s="3"/>
      <c r="L331" s="3"/>
      <c r="M331" s="3"/>
      <c r="N331" s="3"/>
      <c r="O331" s="7"/>
      <c r="P331" s="4"/>
      <c r="Q331" s="7"/>
    </row>
    <row r="332" spans="1:17" s="1" customFormat="1">
      <c r="A332" s="4"/>
      <c r="B332" s="4"/>
      <c r="C332" s="2"/>
      <c r="D332" s="6"/>
      <c r="E332" s="6"/>
      <c r="F332" s="20"/>
      <c r="G332" s="20"/>
      <c r="H332" s="6"/>
      <c r="I332" s="4"/>
      <c r="J332" s="4"/>
      <c r="K332" s="3"/>
      <c r="L332" s="3"/>
      <c r="M332" s="3"/>
      <c r="N332" s="3"/>
      <c r="O332" s="7"/>
      <c r="P332" s="4"/>
      <c r="Q332" s="7"/>
    </row>
    <row r="333" spans="1:17" s="1" customFormat="1">
      <c r="A333" s="4"/>
      <c r="B333" s="4"/>
      <c r="C333" s="2"/>
      <c r="D333" s="6"/>
      <c r="E333" s="6"/>
      <c r="F333" s="20"/>
      <c r="G333" s="20"/>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3"/>
      <c r="G335" s="3"/>
      <c r="H335" s="6"/>
      <c r="I335" s="4"/>
      <c r="J335" s="4"/>
      <c r="K335" s="3"/>
      <c r="L335" s="3"/>
      <c r="M335" s="3"/>
      <c r="N335" s="3"/>
      <c r="O335" s="7"/>
      <c r="P335" s="4"/>
      <c r="Q335" s="8"/>
    </row>
    <row r="336" spans="1:17" s="1" customFormat="1">
      <c r="A336" s="4"/>
      <c r="B336" s="4"/>
      <c r="C336" s="2"/>
      <c r="D336" s="6"/>
      <c r="E336" s="6"/>
      <c r="F336" s="3"/>
      <c r="G336" s="3"/>
      <c r="H336" s="6"/>
      <c r="I336" s="4"/>
      <c r="J336" s="4"/>
      <c r="K336" s="3"/>
      <c r="L336" s="3"/>
      <c r="M336" s="3"/>
      <c r="N336" s="3"/>
      <c r="O336" s="7"/>
      <c r="P336" s="4"/>
      <c r="Q336" s="7"/>
    </row>
    <row r="337" spans="1:17" s="1" customFormat="1">
      <c r="A337" s="4"/>
      <c r="B337" s="4"/>
      <c r="C337" s="2"/>
      <c r="D337" s="6"/>
      <c r="E337" s="6"/>
      <c r="F337" s="3"/>
      <c r="G337" s="3"/>
      <c r="H337" s="6"/>
      <c r="I337" s="4"/>
      <c r="J337" s="4"/>
      <c r="K337" s="3"/>
      <c r="L337" s="3"/>
      <c r="M337" s="3"/>
      <c r="N337" s="3"/>
      <c r="O337" s="7"/>
      <c r="P337" s="4"/>
      <c r="Q337" s="7"/>
    </row>
    <row r="338" spans="1:17" s="1" customFormat="1">
      <c r="A338" s="4"/>
      <c r="B338" s="4"/>
      <c r="C338" s="2"/>
      <c r="D338" s="6"/>
      <c r="E338" s="6"/>
      <c r="F338" s="3"/>
      <c r="G338" s="3"/>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20"/>
      <c r="G344" s="20"/>
      <c r="H344" s="6"/>
      <c r="I344" s="4"/>
      <c r="J344" s="4"/>
      <c r="K344" s="3"/>
      <c r="L344" s="3"/>
      <c r="M344" s="3"/>
      <c r="N344" s="3"/>
      <c r="O344" s="7"/>
      <c r="P344" s="4"/>
      <c r="Q344" s="7"/>
    </row>
    <row r="345" spans="1:17" s="1" customFormat="1">
      <c r="A345" s="4"/>
      <c r="B345" s="4"/>
      <c r="C345" s="2"/>
      <c r="D345" s="6"/>
      <c r="E345" s="6"/>
      <c r="F345" s="20"/>
      <c r="G345" s="20"/>
      <c r="H345" s="6"/>
      <c r="I345" s="4"/>
      <c r="J345" s="4"/>
      <c r="K345" s="3"/>
      <c r="L345" s="3"/>
      <c r="M345" s="3"/>
      <c r="N345" s="3"/>
      <c r="O345" s="7"/>
      <c r="P345" s="4"/>
      <c r="Q345" s="7"/>
    </row>
    <row r="346" spans="1:17" s="1" customFormat="1">
      <c r="A346" s="4"/>
      <c r="B346" s="4"/>
      <c r="C346" s="2"/>
      <c r="D346" s="6"/>
      <c r="E346" s="6"/>
      <c r="F346" s="20"/>
      <c r="G346" s="20"/>
      <c r="H346" s="6"/>
      <c r="I346" s="4"/>
      <c r="J346" s="4"/>
      <c r="K346" s="3"/>
      <c r="L346" s="3"/>
      <c r="M346" s="3"/>
      <c r="N346" s="3"/>
      <c r="O346" s="7"/>
      <c r="P346" s="4"/>
      <c r="Q346" s="7"/>
    </row>
    <row r="347" spans="1:17" s="1" customFormat="1">
      <c r="A347" s="4"/>
      <c r="B347" s="4"/>
      <c r="C347" s="2"/>
      <c r="D347" s="6"/>
      <c r="E347" s="6"/>
      <c r="F347" s="20"/>
      <c r="G347" s="20"/>
      <c r="H347" s="6"/>
      <c r="I347" s="4"/>
      <c r="J347" s="4"/>
      <c r="K347" s="3"/>
      <c r="L347" s="3"/>
      <c r="M347" s="3"/>
      <c r="N347" s="3"/>
      <c r="O347" s="7"/>
      <c r="P347" s="4"/>
      <c r="Q347" s="7"/>
    </row>
    <row r="348" spans="1:17" s="1" customFormat="1">
      <c r="A348" s="4"/>
      <c r="B348" s="4"/>
      <c r="C348" s="2"/>
      <c r="D348" s="6"/>
      <c r="E348" s="6"/>
      <c r="F348" s="20"/>
      <c r="G348" s="20"/>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3"/>
      <c r="G387" s="3"/>
      <c r="H387" s="6"/>
      <c r="I387" s="4"/>
      <c r="J387" s="4"/>
      <c r="K387" s="3"/>
      <c r="L387" s="3"/>
      <c r="M387" s="3"/>
      <c r="N387" s="3"/>
      <c r="O387" s="7"/>
      <c r="P387" s="4"/>
      <c r="Q387" s="7"/>
    </row>
    <row r="388" spans="1:17" s="1" customFormat="1">
      <c r="A388" s="4"/>
      <c r="B388" s="4"/>
      <c r="C388" s="2"/>
      <c r="D388" s="6"/>
      <c r="E388" s="6"/>
      <c r="F388" s="3"/>
      <c r="G388" s="3"/>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21"/>
      <c r="G397" s="21"/>
      <c r="H397" s="6"/>
      <c r="I397" s="4"/>
      <c r="J397" s="4"/>
      <c r="K397" s="3"/>
      <c r="L397" s="3"/>
      <c r="M397" s="3"/>
      <c r="N397" s="3"/>
      <c r="O397" s="7"/>
      <c r="P397" s="4"/>
      <c r="Q397" s="7"/>
    </row>
    <row r="398" spans="1:17" s="1" customFormat="1">
      <c r="A398" s="4"/>
      <c r="B398" s="4"/>
      <c r="C398" s="2"/>
      <c r="D398" s="6"/>
      <c r="E398" s="6"/>
      <c r="F398" s="21"/>
      <c r="G398" s="21"/>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3"/>
      <c r="G480" s="3"/>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21"/>
      <c r="G490" s="21"/>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3"/>
      <c r="G542" s="3"/>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21"/>
      <c r="G552" s="21"/>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3"/>
      <c r="G572" s="3"/>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21"/>
      <c r="G582" s="21"/>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3"/>
      <c r="G623" s="3"/>
      <c r="H623" s="6"/>
      <c r="I623" s="4"/>
      <c r="J623" s="4"/>
      <c r="K623" s="3"/>
      <c r="L623" s="3"/>
      <c r="M623" s="3"/>
      <c r="N623" s="3"/>
      <c r="O623" s="7"/>
      <c r="P623" s="4"/>
      <c r="Q623" s="7"/>
    </row>
    <row r="624" spans="1:17" s="1" customFormat="1">
      <c r="A624" s="4"/>
      <c r="B624" s="4"/>
      <c r="C624" s="2"/>
      <c r="D624" s="6"/>
      <c r="E624" s="6"/>
      <c r="F624" s="3"/>
      <c r="G624" s="3"/>
      <c r="H624" s="6"/>
      <c r="I624" s="4"/>
      <c r="J624" s="4"/>
      <c r="K624" s="3"/>
      <c r="L624" s="3"/>
      <c r="M624" s="3"/>
      <c r="N624" s="3"/>
      <c r="O624" s="7"/>
      <c r="P624" s="4"/>
      <c r="Q624" s="7"/>
    </row>
    <row r="625" spans="1:17" s="1" customFormat="1">
      <c r="A625" s="4"/>
      <c r="B625" s="4"/>
      <c r="C625" s="2"/>
      <c r="D625" s="6"/>
      <c r="E625" s="6"/>
      <c r="F625" s="3"/>
      <c r="G625" s="3"/>
      <c r="H625" s="6"/>
      <c r="I625" s="4"/>
      <c r="J625" s="4"/>
      <c r="K625" s="3"/>
      <c r="L625" s="3"/>
      <c r="M625" s="3"/>
      <c r="N625" s="3"/>
      <c r="O625" s="7"/>
      <c r="P625" s="4"/>
      <c r="Q625" s="7"/>
    </row>
    <row r="626" spans="1:17" s="1" customFormat="1">
      <c r="A626" s="4"/>
      <c r="B626" s="4"/>
      <c r="C626" s="2"/>
      <c r="D626" s="6"/>
      <c r="E626" s="6"/>
      <c r="F626" s="3"/>
      <c r="G626" s="3"/>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20"/>
      <c r="G633" s="20"/>
      <c r="H633" s="6"/>
      <c r="I633" s="4"/>
      <c r="J633" s="4"/>
      <c r="K633" s="3"/>
      <c r="L633" s="3"/>
      <c r="M633" s="3"/>
      <c r="N633" s="3"/>
      <c r="O633" s="7"/>
      <c r="P633" s="4"/>
      <c r="Q633" s="7"/>
    </row>
    <row r="634" spans="1:17" s="1" customFormat="1">
      <c r="A634" s="4"/>
      <c r="B634" s="4"/>
      <c r="C634" s="2"/>
      <c r="D634" s="6"/>
      <c r="E634" s="6"/>
      <c r="F634" s="20"/>
      <c r="G634" s="20"/>
      <c r="H634" s="6"/>
      <c r="I634" s="4"/>
      <c r="J634" s="4"/>
      <c r="K634" s="3"/>
      <c r="L634" s="3"/>
      <c r="M634" s="3"/>
      <c r="N634" s="3"/>
      <c r="O634" s="7"/>
      <c r="P634" s="4"/>
      <c r="Q634" s="7"/>
    </row>
    <row r="635" spans="1:17" s="1" customFormat="1">
      <c r="A635" s="4"/>
      <c r="B635" s="4"/>
      <c r="C635" s="2"/>
      <c r="D635" s="6"/>
      <c r="E635" s="6"/>
      <c r="F635" s="20"/>
      <c r="G635" s="20"/>
      <c r="H635" s="6"/>
      <c r="I635" s="4"/>
      <c r="J635" s="4"/>
      <c r="K635" s="3"/>
      <c r="L635" s="3"/>
      <c r="M635" s="3"/>
      <c r="N635" s="3"/>
      <c r="O635" s="7"/>
      <c r="P635" s="4"/>
      <c r="Q635" s="7"/>
    </row>
    <row r="636" spans="1:17" s="1" customFormat="1">
      <c r="A636" s="4"/>
      <c r="B636" s="4"/>
      <c r="C636" s="2"/>
      <c r="D636" s="6"/>
      <c r="E636" s="6"/>
      <c r="F636" s="20"/>
      <c r="G636" s="20"/>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s="1" customFormat="1">
      <c r="A670" s="4"/>
      <c r="B670" s="4"/>
      <c r="C670" s="2"/>
      <c r="D670" s="6"/>
      <c r="E670" s="6"/>
      <c r="F670" s="3"/>
      <c r="G670" s="3"/>
      <c r="H670" s="6"/>
      <c r="I670" s="4"/>
      <c r="J670" s="4"/>
      <c r="K670" s="3"/>
      <c r="L670" s="3"/>
      <c r="M670" s="3"/>
      <c r="N670" s="3"/>
      <c r="O670" s="7"/>
      <c r="P670" s="4"/>
      <c r="Q670" s="7"/>
    </row>
    <row r="671" spans="1:17" s="1" customFormat="1">
      <c r="A671" s="4"/>
      <c r="B671" s="4"/>
      <c r="C671" s="2"/>
      <c r="D671" s="6"/>
      <c r="E671" s="6"/>
      <c r="F671" s="3"/>
      <c r="G671" s="3"/>
      <c r="H671" s="6"/>
      <c r="I671" s="4"/>
      <c r="J671" s="4"/>
      <c r="K671" s="3"/>
      <c r="L671" s="3"/>
      <c r="M671" s="3"/>
      <c r="N671" s="3"/>
      <c r="O671" s="7"/>
      <c r="P671" s="4"/>
      <c r="Q671" s="7"/>
    </row>
    <row r="672" spans="1:17" s="1" customFormat="1">
      <c r="A672" s="4"/>
      <c r="B672" s="4"/>
      <c r="C672" s="2"/>
      <c r="D672" s="6"/>
      <c r="E672" s="6"/>
      <c r="F672" s="3"/>
      <c r="G672" s="3"/>
      <c r="H672" s="6"/>
      <c r="I672" s="4"/>
      <c r="J672" s="4"/>
      <c r="K672" s="3"/>
      <c r="L672" s="3"/>
      <c r="M672" s="3"/>
      <c r="N672" s="3"/>
      <c r="O672" s="7"/>
      <c r="P672" s="4"/>
      <c r="Q672" s="7"/>
    </row>
    <row r="673" spans="1:17" s="1" customFormat="1">
      <c r="A673" s="4"/>
      <c r="B673" s="4"/>
      <c r="C673" s="2"/>
      <c r="D673" s="6"/>
      <c r="E673" s="6"/>
      <c r="F673" s="3"/>
      <c r="G673" s="3"/>
      <c r="H673" s="6"/>
      <c r="I673" s="4"/>
      <c r="J673" s="4"/>
      <c r="K673" s="3"/>
      <c r="L673" s="3"/>
      <c r="M673" s="3"/>
      <c r="N673" s="3"/>
      <c r="O673" s="7"/>
      <c r="P673" s="4"/>
      <c r="Q673" s="7"/>
    </row>
    <row r="674" spans="1:17" s="1" customFormat="1">
      <c r="A674" s="4"/>
      <c r="B674" s="4"/>
      <c r="C674" s="2"/>
      <c r="D674" s="6"/>
      <c r="E674" s="6"/>
      <c r="F674" s="3"/>
      <c r="G674" s="3"/>
      <c r="H674" s="6"/>
      <c r="I674" s="4"/>
      <c r="J674" s="4"/>
      <c r="K674" s="3"/>
      <c r="L674" s="3"/>
      <c r="M674" s="3"/>
      <c r="N674" s="3"/>
      <c r="O674" s="7"/>
      <c r="P674" s="4"/>
      <c r="Q674" s="7"/>
    </row>
    <row r="675" spans="1:17" s="1" customFormat="1">
      <c r="A675" s="4"/>
      <c r="B675" s="4"/>
      <c r="C675" s="2"/>
      <c r="D675" s="6"/>
      <c r="E675" s="6"/>
      <c r="F675" s="3"/>
      <c r="G675" s="3"/>
      <c r="H675" s="6"/>
      <c r="I675" s="4"/>
      <c r="J675" s="4"/>
      <c r="K675" s="3"/>
      <c r="L675" s="3"/>
      <c r="M675" s="3"/>
      <c r="N675" s="3"/>
      <c r="O675" s="7"/>
      <c r="P675" s="4"/>
      <c r="Q675" s="7"/>
    </row>
    <row r="676" spans="1:17" s="1" customFormat="1">
      <c r="A676" s="4"/>
      <c r="B676" s="4"/>
      <c r="C676" s="2"/>
      <c r="D676" s="6"/>
      <c r="E676" s="6"/>
      <c r="F676" s="3"/>
      <c r="G676" s="3"/>
      <c r="H676" s="6"/>
      <c r="I676" s="4"/>
      <c r="J676" s="4"/>
      <c r="K676" s="3"/>
      <c r="L676" s="3"/>
      <c r="M676" s="3"/>
      <c r="N676" s="3"/>
      <c r="O676" s="7"/>
      <c r="P676" s="4"/>
      <c r="Q676" s="7"/>
    </row>
    <row r="677" spans="1:17" s="1" customFormat="1">
      <c r="A677" s="4"/>
      <c r="B677" s="4"/>
      <c r="C677" s="2"/>
      <c r="D677" s="6"/>
      <c r="E677" s="6"/>
      <c r="F677" s="3"/>
      <c r="G677" s="3"/>
      <c r="H677" s="6"/>
      <c r="I677" s="4"/>
      <c r="J677" s="4"/>
      <c r="K677" s="3"/>
      <c r="L677" s="3"/>
      <c r="M677" s="3"/>
      <c r="N677" s="3"/>
      <c r="O677" s="7"/>
      <c r="P677" s="4"/>
      <c r="Q677" s="7"/>
    </row>
    <row r="678" spans="1:17" s="1" customFormat="1">
      <c r="A678" s="4"/>
      <c r="B678" s="4"/>
      <c r="C678" s="2"/>
      <c r="D678" s="6"/>
      <c r="E678" s="6"/>
      <c r="F678" s="3"/>
      <c r="G678" s="3"/>
      <c r="H678" s="6"/>
      <c r="I678" s="4"/>
      <c r="J678" s="4"/>
      <c r="K678" s="3"/>
      <c r="L678" s="3"/>
      <c r="M678" s="3"/>
      <c r="N678" s="3"/>
      <c r="O678" s="7"/>
      <c r="P678" s="4"/>
      <c r="Q678" s="7"/>
    </row>
    <row r="679" spans="1:17" s="1" customFormat="1">
      <c r="A679" s="4"/>
      <c r="B679" s="4"/>
      <c r="C679" s="2"/>
      <c r="D679" s="6"/>
      <c r="E679" s="6"/>
      <c r="F679" s="3"/>
      <c r="G679" s="3"/>
      <c r="H679" s="6"/>
      <c r="I679" s="4"/>
      <c r="J679" s="4"/>
      <c r="K679" s="3"/>
      <c r="L679" s="3"/>
      <c r="M679" s="3"/>
      <c r="N679" s="3"/>
      <c r="O679" s="7"/>
      <c r="P679" s="4"/>
      <c r="Q679" s="7"/>
    </row>
    <row r="680" spans="1:17">
      <c r="E680"/>
    </row>
  </sheetData>
  <autoFilter ref="A3:Q67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参考!$I$2:$I$11</xm:f>
          </x14:formula1>
          <xm:sqref>H4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I10"/>
  <sheetViews>
    <sheetView workbookViewId="0">
      <selection activeCell="G10" sqref="G10:I10"/>
    </sheetView>
  </sheetViews>
  <sheetFormatPr defaultRowHeight="13.2"/>
  <cols>
    <col min="1" max="1" width="4.88671875" customWidth="1"/>
    <col min="2" max="2" width="16.21875" customWidth="1"/>
    <col min="3" max="3" width="18.5546875" customWidth="1"/>
    <col min="4" max="6" width="2.109375" customWidth="1"/>
    <col min="7" max="7" width="4.109375" customWidth="1"/>
    <col min="8" max="8" width="13.109375" customWidth="1"/>
    <col min="9" max="9" width="15.21875" bestFit="1" customWidth="1"/>
  </cols>
  <sheetData>
    <row r="1" spans="1:9">
      <c r="A1" s="41" t="s">
        <v>2</v>
      </c>
      <c r="B1" s="42"/>
      <c r="G1" s="41" t="s">
        <v>30</v>
      </c>
      <c r="H1" s="42"/>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3.8"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海野博子</cp:lastModifiedBy>
  <dcterms:created xsi:type="dcterms:W3CDTF">1997-01-08T22:48:59Z</dcterms:created>
  <dcterms:modified xsi:type="dcterms:W3CDTF">2023-06-19T08:37:37Z</dcterms:modified>
</cp:coreProperties>
</file>