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3o__\Downloads\2023-06-main\2023-06-main\99_参考資料\"/>
    </mc:Choice>
  </mc:AlternateContent>
  <xr:revisionPtr revIDLastSave="0" documentId="13_ncr:1_{712D94E8-7643-4381-8786-6F37554A4701}" xr6:coauthVersionLast="47" xr6:coauthVersionMax="47" xr10:uidLastSave="{00000000-0000-0000-0000-000000000000}"/>
  <bookViews>
    <workbookView xWindow="-108" yWindow="-108" windowWidth="23256" windowHeight="12456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  <externalReference r:id="rId6"/>
  </externalReferences>
  <definedNames>
    <definedName name="_xlnm._FilterDatabase" localSheetId="2" hidden="1">QA管理一覧表!$A$3:$X$10</definedName>
    <definedName name="_Order1" hidden="1">255</definedName>
    <definedName name="_xlnm.Print_Area" localSheetId="2">QA管理一覧表!$A$1:$W$10</definedName>
    <definedName name="_xlnm.Print_Area">'[1]2.業務ｼｽﾃﾑ別ｲﾝﾀｰﾌｪｰｽ'!#REF!</definedName>
    <definedName name="_xlnm.Print_Titles" localSheetId="2">QA管理一覧表!$1:$3</definedName>
    <definedName name="_xlnm.Print_Titles">[2]運用設計書原紙!$A$1:$IV$3</definedName>
    <definedName name="QA">QA管理一覧表!$A$3:$V$5</definedName>
    <definedName name="Z_0CA608AB_D6A3_4D8D_A393_46BDDA8FC902_.wvu.FilterData" localSheetId="2" hidden="1">QA管理一覧表!$A$3:$V$3</definedName>
    <definedName name="Z_0E0E067B_FCAF_48F1_BFA8_5DB8BC590788_.wvu.FilterData" localSheetId="2" hidden="1">QA管理一覧表!$A$3:$V$5</definedName>
    <definedName name="Z_16F10120_1703_49F6_8292_B301D1C797AE_.wvu.FilterData" localSheetId="2" hidden="1">QA管理一覧表!$A$3:$V$5</definedName>
    <definedName name="Z_1725E8AD_B682_44D3_A9B4_F3346B035AB8_.wvu.FilterData" localSheetId="2" hidden="1">QA管理一覧表!$A$3:$V$5</definedName>
    <definedName name="Z_179682AD_88A5_48E7_90FE_C00C8657731B_.wvu.FilterData" localSheetId="2" hidden="1">QA管理一覧表!$A$3:$V$5</definedName>
    <definedName name="Z_17B591BF_85EA_4016_ACBE_ACB0B88CE87B_.wvu.FilterData" localSheetId="2" hidden="1">QA管理一覧表!$A$3:$V$3</definedName>
    <definedName name="Z_19350643_97FC_4148_9258_BAA507AB3483_.wvu.FilterData" localSheetId="2" hidden="1">QA管理一覧表!$A$3:$V$3</definedName>
    <definedName name="Z_1C018A6D_9377_4D39_A22D_22247DF9E629_.wvu.FilterData" localSheetId="2" hidden="1">QA管理一覧表!$A$3:$V$5</definedName>
    <definedName name="Z_1C018A6D_9377_4D39_A22D_22247DF9E629_.wvu.PrintTitles" localSheetId="2" hidden="1">QA管理一覧表!$1:$3</definedName>
    <definedName name="Z_1F65444B_8803_40B3_90B7_1E3525C6F78D_.wvu.FilterData" localSheetId="2" hidden="1">QA管理一覧表!$A$3:$V$5</definedName>
    <definedName name="Z_21EEE7ED_80CE_42A9_BD87_DB4288CC1073_.wvu.FilterData" localSheetId="2" hidden="1">QA管理一覧表!$A$3:$V$5</definedName>
    <definedName name="Z_24BE5047_26C1_426E_BE35_4E7DC60F77FA_.wvu.FilterData" localSheetId="2" hidden="1">QA管理一覧表!$A$3:$V$3</definedName>
    <definedName name="Z_2560C05E_E5F9_4A05_9D31_F395ECAEBA33_.wvu.FilterData" localSheetId="2" hidden="1">QA管理一覧表!$A$3:$V$3</definedName>
    <definedName name="Z_2CE6F66E_53C3_4A73_B1A8_18C71351464C_.wvu.FilterData" localSheetId="2" hidden="1">QA管理一覧表!$A$3:$V$5</definedName>
    <definedName name="Z_2CE6F66E_53C3_4A73_B1A8_18C71351464C_.wvu.PrintArea" localSheetId="2" hidden="1">QA管理一覧表!$A$1:$W$10</definedName>
    <definedName name="Z_2CE6F66E_53C3_4A73_B1A8_18C71351464C_.wvu.PrintTitles" localSheetId="2" hidden="1">QA管理一覧表!$1:$3</definedName>
    <definedName name="Z_2F7A26AB_722C_4FB2_9F1A_66A1957ED835_.wvu.FilterData" localSheetId="2" hidden="1">QA管理一覧表!$A$3:$V$5</definedName>
    <definedName name="Z_3321A3A4_C86F_4EBE_9A3F_0F7CB101C8F3_.wvu.FilterData" localSheetId="2" hidden="1">QA管理一覧表!$A$3:$V$3</definedName>
    <definedName name="Z_33736625_93FD_4E18_83F4_9431D180B091_.wvu.FilterData" localSheetId="2" hidden="1">QA管理一覧表!$A$3:$V$3</definedName>
    <definedName name="Z_37C0172F_0214_4F13_8094_0545856787BF_.wvu.FilterData" localSheetId="2" hidden="1">QA管理一覧表!$A$3:$V$5</definedName>
    <definedName name="Z_37C0172F_0214_4F13_8094_0545856787BF_.wvu.PrintArea" localSheetId="2" hidden="1">QA管理一覧表!$A$1:$W$10</definedName>
    <definedName name="Z_37C0172F_0214_4F13_8094_0545856787BF_.wvu.PrintTitles" localSheetId="2" hidden="1">QA管理一覧表!$1:$3</definedName>
    <definedName name="Z_385120E5_634A_4338_BD5A_A6B35132E213_.wvu.FilterData" localSheetId="2" hidden="1">QA管理一覧表!$A$3:$V$3</definedName>
    <definedName name="Z_3DCB5A71_A8F4_4147_B104_6AB75AF2B228_.wvu.FilterData" localSheetId="2" hidden="1">QA管理一覧表!$A$3:$V$5</definedName>
    <definedName name="Z_42A58AE4_39D4_40A2_9708_32B9087A4AB8_.wvu.FilterData" localSheetId="2" hidden="1">QA管理一覧表!$A$3:$V$5</definedName>
    <definedName name="Z_431BC71D_A928_4424_8063_367052496243_.wvu.FilterData" localSheetId="2" hidden="1">QA管理一覧表!$A$3:$V$5</definedName>
    <definedName name="Z_431BC71D_A928_4424_8063_367052496243_.wvu.PrintArea" localSheetId="2" hidden="1">QA管理一覧表!$A$1:$W$10</definedName>
    <definedName name="Z_431BC71D_A928_4424_8063_367052496243_.wvu.PrintTitles" localSheetId="2" hidden="1">QA管理一覧表!$1:$3</definedName>
    <definedName name="Z_4B1203DA_1747_4CB9_BA3F_70007A642326_.wvu.FilterData" localSheetId="2" hidden="1">QA管理一覧表!$A$3:$V$3</definedName>
    <definedName name="Z_4D81BB8C_E3F3_4CF9_B2A3_3E4B928F043B_.wvu.FilterData" localSheetId="2" hidden="1">QA管理一覧表!$A$3:$V$5</definedName>
    <definedName name="Z_4D81BB8C_E3F3_4CF9_B2A3_3E4B928F043B_.wvu.PrintArea" localSheetId="2" hidden="1">QA管理一覧表!$A$1:$W$10</definedName>
    <definedName name="Z_4D81BB8C_E3F3_4CF9_B2A3_3E4B928F043B_.wvu.PrintTitles" localSheetId="2" hidden="1">QA管理一覧表!$1:$3</definedName>
    <definedName name="Z_53C4224F_E4DF_466F_AB85_49E0CF9BF9BD_.wvu.FilterData" localSheetId="2" hidden="1">QA管理一覧表!$A$3:$V$3</definedName>
    <definedName name="Z_54DB0819_34B0_4F28_8663_5F3F02011848_.wvu.FilterData" localSheetId="2" hidden="1">QA管理一覧表!$A$3:$V$3</definedName>
    <definedName name="Z_56B18505_3F08_45A6_BF42_F766C7DD32F8_.wvu.FilterData" localSheetId="2" hidden="1">QA管理一覧表!$A$3:$V$5</definedName>
    <definedName name="Z_57F2B85D_A16E_4F2B_B606_8ED38E30C205_.wvu.FilterData" localSheetId="2" hidden="1">QA管理一覧表!$A$3:$V$5</definedName>
    <definedName name="Z_595CD091_ECE8_433C_9F29_BCFA5069325D_.wvu.FilterData" localSheetId="2" hidden="1">QA管理一覧表!$A$3:$V$5</definedName>
    <definedName name="Z_595CD091_ECE8_433C_9F29_BCFA5069325D_.wvu.PrintTitles" localSheetId="2" hidden="1">QA管理一覧表!$1:$3</definedName>
    <definedName name="Z_5BFFE39F_FE4E_43B4_8E90_62B8F09ECD7E_.wvu.FilterData" localSheetId="2" hidden="1">QA管理一覧表!$A$3:$V$5</definedName>
    <definedName name="Z_5C269FF1_B4E4_4143_8D19_556D1E4FA759_.wvu.FilterData" localSheetId="2" hidden="1">QA管理一覧表!$A$3:$V$3</definedName>
    <definedName name="Z_5E00BD7A_0444_41D3_B168_9E05ABC5CAFD_.wvu.FilterData" localSheetId="2" hidden="1">QA管理一覧表!$A$3:$V$3</definedName>
    <definedName name="Z_5E2924B9_A8E6_4935_BD2A_12A6697A062F_.wvu.FilterData" localSheetId="2" hidden="1">QA管理一覧表!$A$3:$V$5</definedName>
    <definedName name="Z_5EFF93E1_D1A4_45C3_9049_9AAC151329EB_.wvu.FilterData" localSheetId="2" hidden="1">QA管理一覧表!$A$3:$V$5</definedName>
    <definedName name="Z_640CC61C_2DAB_486A_A7CE_C48702CB172D_.wvu.FilterData" localSheetId="2" hidden="1">QA管理一覧表!$A$3:$V$5</definedName>
    <definedName name="Z_645E3300_13D7_409F_B08B_3CE6B39F9519_.wvu.FilterData" localSheetId="2" hidden="1">QA管理一覧表!$A$3:$V$5</definedName>
    <definedName name="Z_66065EF6_6A5C_4DB7_8A93_2EA0410F412D_.wvu.FilterData" localSheetId="2" hidden="1">QA管理一覧表!$A$3:$V$3</definedName>
    <definedName name="Z_6A307672_991F_4905_A40D_9F5760BDC397_.wvu.FilterData" localSheetId="2" hidden="1">QA管理一覧表!$A$3:$V$3</definedName>
    <definedName name="Z_6BBE8C29_A04D_4E90_AB1F_8FBA05FD9A12_.wvu.FilterData" localSheetId="2" hidden="1">QA管理一覧表!$A$3:$V$3</definedName>
    <definedName name="Z_6CC263D8_24F6_4A28_9A40_5CB07A76ED12_.wvu.FilterData" localSheetId="2" hidden="1">QA管理一覧表!$A$3:$V$5</definedName>
    <definedName name="Z_6E817D4E_15F3_4499_A0B8_B65EB55541B7_.wvu.FilterData" localSheetId="2" hidden="1">QA管理一覧表!$A$3:$V$5</definedName>
    <definedName name="Z_6E817D4E_15F3_4499_A0B8_B65EB55541B7_.wvu.PrintArea" localSheetId="2" hidden="1">QA管理一覧表!$A$1:$V$10</definedName>
    <definedName name="Z_75870A36_6D60_4C0B_839D_646E56C1DED6_.wvu.FilterData" localSheetId="2" hidden="1">QA管理一覧表!$A$3:$V$5</definedName>
    <definedName name="Z_75F4512F_070B_4450_89C0_2A6DA651C592_.wvu.FilterData" localSheetId="2" hidden="1">QA管理一覧表!$A$3:$V$3</definedName>
    <definedName name="Z_76B437E7_AF7B_4891_AA7F_A7C083440330_.wvu.FilterData" localSheetId="2" hidden="1">QA管理一覧表!$A$3:$V$3</definedName>
    <definedName name="Z_78D7DF69_005C_44AE_A21D_97B8019D3D13_.wvu.FilterData" localSheetId="2" hidden="1">QA管理一覧表!$A$3:$V$5</definedName>
    <definedName name="Z_7C2C0227_C9E1_47D3_ADE3_EBCBB40169C2_.wvu.FilterData" localSheetId="2" hidden="1">QA管理一覧表!$A$3:$V$5</definedName>
    <definedName name="Z_7DF7940C_3E71_42A7_BAFA_AAAE8F39F6C9_.wvu.FilterData" localSheetId="2" hidden="1">QA管理一覧表!$A$3:$V$3</definedName>
    <definedName name="Z_80B27337_3C81_4A24_9C92_88207222FE51_.wvu.FilterData" localSheetId="2" hidden="1">QA管理一覧表!$A$3:$V$3</definedName>
    <definedName name="Z_816E6825_7BBF_4B0D_B200_A73F0DDB17EF_.wvu.FilterData" localSheetId="2" hidden="1">QA管理一覧表!$A$3:$V$5</definedName>
    <definedName name="Z_826C32C5_7CC2_43D4_9705_F4DC0732A3CA_.wvu.FilterData" localSheetId="2" hidden="1">QA管理一覧表!$A$3:$V$5</definedName>
    <definedName name="Z_8623AE91_276B_47CD_A9BC_FCF5705A2134_.wvu.FilterData" localSheetId="2" hidden="1">QA管理一覧表!$A$3:$V$5</definedName>
    <definedName name="Z_8A24FFB0_132D_48D8_9377_2CE5690770DB_.wvu.FilterData" localSheetId="2" hidden="1">QA管理一覧表!$A$3:$V$3</definedName>
    <definedName name="Z_8CAF88BC_8912_4080_9FB9_F388EB61B653_.wvu.FilterData" localSheetId="2" hidden="1">QA管理一覧表!$A$3:$V$3</definedName>
    <definedName name="Z_8D69C91C_6925_43B5_AB02_2980CB4B743F_.wvu.FilterData" localSheetId="2" hidden="1">QA管理一覧表!$A$3:$V$3</definedName>
    <definedName name="Z_8F77C63D_878B_4D1C_AE96_8F4B8E182285_.wvu.FilterData" localSheetId="2" hidden="1">QA管理一覧表!$A$3:$V$5</definedName>
    <definedName name="Z_9468ED90_0728_4F2F_8893_06582EDECF39_.wvu.FilterData" localSheetId="2" hidden="1">QA管理一覧表!$A$3:$V$3</definedName>
    <definedName name="Z_985BF1BC_FA4C_42EC_81E5_BFA3B5B6FBB2_.wvu.FilterData" localSheetId="2" hidden="1">QA管理一覧表!$A$3:$V$5</definedName>
    <definedName name="Z_98CA705A_0125_46AD_ABA1_277C29BAF03F_.wvu.FilterData" localSheetId="2" hidden="1">QA管理一覧表!$A$3:$V$5</definedName>
    <definedName name="Z_9CAE8AC6_524E_4CBD_AC05_CAD71D74A8CB_.wvu.FilterData" localSheetId="2" hidden="1">QA管理一覧表!$A$3:$V$5</definedName>
    <definedName name="Z_9D729E58_51D3_4C0A_8C17_2DD55797863B_.wvu.FilterData" localSheetId="2" hidden="1">QA管理一覧表!$A$3:$V$3</definedName>
    <definedName name="Z_9EA89D67_8AC7_4A75_8451_6B6A5914C570_.wvu.FilterData" localSheetId="2" hidden="1">QA管理一覧表!$A$3:$V$5</definedName>
    <definedName name="Z_ADFBF95C_D32E_4E7C_AFA1_429D55F0A342_.wvu.FilterData" localSheetId="2" hidden="1">QA管理一覧表!$A$3:$V$3</definedName>
    <definedName name="Z_B0E42FDA_F27A_465A_A998_76FD51F80067_.wvu.FilterData" localSheetId="2" hidden="1">QA管理一覧表!$A$3:$V$3</definedName>
    <definedName name="Z_B22E9D87_5F63_44DE_9938_19080049423E_.wvu.FilterData" localSheetId="2" hidden="1">QA管理一覧表!$A$3:$V$3</definedName>
    <definedName name="Z_B5608D6D_C271_4222_B794_1D4DAC3E0D07_.wvu.FilterData" localSheetId="2" hidden="1">QA管理一覧表!$A$3:$V$5</definedName>
    <definedName name="Z_B618E6A8_00BD_4BD9_8633_533A009682BB_.wvu.FilterData" localSheetId="2" hidden="1">QA管理一覧表!$A$3:$V$3</definedName>
    <definedName name="Z_B6A112D0_7BBC_4256_8BE8_882BBF79B212_.wvu.FilterData" localSheetId="2" hidden="1">QA管理一覧表!$A$3:$V$3</definedName>
    <definedName name="Z_BA8CB603_E53A_460C_93A4_C6FE59F9D760_.wvu.FilterData" localSheetId="2" hidden="1">QA管理一覧表!$A$3:$V$5</definedName>
    <definedName name="Z_BF310017_A1AD_46C6_8303_9D256BBCB14F_.wvu.FilterData" localSheetId="2" hidden="1">QA管理一覧表!$A$3:$V$5</definedName>
    <definedName name="Z_C0AD8062_6F44_41A8_B647_DB215B4C4381_.wvu.FilterData" localSheetId="2" hidden="1">QA管理一覧表!$A$3:$V$5</definedName>
    <definedName name="Z_C15DBF43_1D92_4F54_BEC6_8F3D212F8D99_.wvu.FilterData" localSheetId="2" hidden="1">QA管理一覧表!$A$3:$V$5</definedName>
    <definedName name="Z_C15DBF43_1D92_4F54_BEC6_8F3D212F8D99_.wvu.PrintArea" localSheetId="2" hidden="1">QA管理一覧表!$A$1:$W$10</definedName>
    <definedName name="Z_C15DBF43_1D92_4F54_BEC6_8F3D212F8D99_.wvu.PrintTitles" localSheetId="2" hidden="1">QA管理一覧表!$1:$3</definedName>
    <definedName name="Z_C329D071_A66F_4BEB_9E5E_2ED1265DA3B2_.wvu.FilterData" localSheetId="2" hidden="1">QA管理一覧表!$A$3:$V$5</definedName>
    <definedName name="Z_C576EE63_57B7_404C_AA54_BCCE6EAECEAC_.wvu.FilterData" localSheetId="2" hidden="1">QA管理一覧表!$A$3:$V$5</definedName>
    <definedName name="Z_C576EE63_57B7_404C_AA54_BCCE6EAECEAC_.wvu.PrintArea" localSheetId="2" hidden="1">QA管理一覧表!$A$1:$W$10</definedName>
    <definedName name="Z_C576EE63_57B7_404C_AA54_BCCE6EAECEAC_.wvu.PrintTitles" localSheetId="2" hidden="1">QA管理一覧表!$1:$3</definedName>
    <definedName name="Z_CB6E8A0D_36DB_4DD8_A0B1_4046B3D1C348_.wvu.FilterData" localSheetId="2" hidden="1">QA管理一覧表!$A$3:$V$5</definedName>
    <definedName name="Z_CBDD6FDB_0A6F_484C_AD09_83DDBF4E35CF_.wvu.FilterData" localSheetId="2" hidden="1">QA管理一覧表!$A$3:$V$5</definedName>
    <definedName name="Z_CBDD6FDB_0A6F_484C_AD09_83DDBF4E35CF_.wvu.PrintArea" localSheetId="2" hidden="1">QA管理一覧表!$A$1:$V$5</definedName>
    <definedName name="Z_CEFA04A3_9E17_4DC0_BF67_03CEA10F8239_.wvu.FilterData" localSheetId="2" hidden="1">QA管理一覧表!$A$3:$V$3</definedName>
    <definedName name="Z_D0AF4204_792A_4903_9D9B_387EE8E0FCF4_.wvu.FilterData" localSheetId="2" hidden="1">QA管理一覧表!$A$3:$V$5</definedName>
    <definedName name="Z_D69F293B_C043_4D7C_9DCB_093724D65AAC_.wvu.FilterData" localSheetId="2" hidden="1">QA管理一覧表!$A$3:$V$3</definedName>
    <definedName name="Z_D824648B_CD74_4F51_9695_3BAFAF7E2075_.wvu.FilterData" localSheetId="2" hidden="1">QA管理一覧表!$A$3:$V$5</definedName>
    <definedName name="Z_DF96F606_7FCE_4157_996F_1B95D9A134E3_.wvu.FilterData" localSheetId="2" hidden="1">QA管理一覧表!$A$3:$V$3</definedName>
    <definedName name="Z_E3557D52_BD4C_452C_B1CF_531320DE7FC1_.wvu.FilterData" localSheetId="2" hidden="1">QA管理一覧表!$A$3:$V$5</definedName>
    <definedName name="Z_E578AD38_A6F0_45C5_9308_6D92B3EE6918_.wvu.FilterData" localSheetId="2" hidden="1">QA管理一覧表!$A$3:$V$3</definedName>
    <definedName name="Z_E650BDB7_54CA_41C2_8EF1_FDFD8F8EBEF7_.wvu.FilterData" localSheetId="2" hidden="1">QA管理一覧表!$A$3:$V$5</definedName>
    <definedName name="Z_E6C7BC34_ECCF_4C92_B84B_A795388235AE_.wvu.FilterData" localSheetId="2" hidden="1">QA管理一覧表!$A$3:$V$5</definedName>
    <definedName name="Z_E776EA98_2AC0_49AE_9B1F_30E35C0E0304_.wvu.FilterData" localSheetId="2" hidden="1">QA管理一覧表!$A$3:$V$5</definedName>
    <definedName name="Z_EC8BAA3E_D8FA_4250_8C2E_19FAB44C2BAF_.wvu.FilterData" localSheetId="2" hidden="1">QA管理一覧表!$A$3:$V$3</definedName>
    <definedName name="Z_EF636B3F_0853_4192_B134_A0F9CBCF69DA_.wvu.FilterData" localSheetId="2" hidden="1">QA管理一覧表!$A$3:$V$3</definedName>
    <definedName name="Z_F2CD705A_D7A1_4E49_8A50_4B3770E99C76_.wvu.FilterData" localSheetId="2" hidden="1">QA管理一覧表!$A$3:$V$5</definedName>
    <definedName name="Z_F64FA1C0_E5B8_4C3E_97C6_F440F39DB6AD_.wvu.FilterData" localSheetId="2" hidden="1">QA管理一覧表!$A$3:$V$5</definedName>
    <definedName name="Z_F8DF663B_2164_4716_B962_39EC93A7839C_.wvu.FilterData" localSheetId="2" hidden="1">QA管理一覧表!$A$3:$V$5</definedName>
    <definedName name="Z_F94B58E0_2AD0_4D58_8044_158AC2396238_.wvu.FilterData" localSheetId="2" hidden="1">QA管理一覧表!$A$3:$V$5</definedName>
    <definedName name="Z_FB2256B3_6653_4CC8_8383_406A47E2D3CE_.wvu.FilterData" localSheetId="2" hidden="1">QA管理一覧表!$A$3:$V$5</definedName>
    <definedName name="Z_FB2256B3_6653_4CC8_8383_406A47E2D3CE_.wvu.PrintTitles" localSheetId="2" hidden="1">QA管理一覧表!$1:$3</definedName>
    <definedName name="Z_FBFBF0D8_B2B6_4574_B149_1196DEE6E932_.wvu.FilterData" localSheetId="2" hidden="1">QA管理一覧表!$A$3:$V$5</definedName>
    <definedName name="パス0" localSheetId="0">統計結果!$C$10</definedName>
    <definedName name="パス0">#REF!</definedName>
    <definedName name="パス1" localSheetId="0">統計結果!$C$11</definedName>
    <definedName name="パス1">#REF!</definedName>
    <definedName name="行補正" localSheetId="0">統計結果!$C$12</definedName>
    <definedName name="行補正">#REF!</definedName>
    <definedName name="申請区分">[3]情報シート!$B$14:$B$16</definedName>
  </definedNames>
  <calcPr calcId="191029" fullPrecision="0"/>
  <customWorkbookViews>
    <customWorkbookView name="Ymashita - 個人用ビュー" guid="{C576EE63-57B7-404C-AA54-BCCE6EAECEAC}" mergeInterval="0" personalView="1" maximized="1" windowWidth="1436" windowHeight="638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paotyan - 個人用ビュー" guid="{BF310017-A1AD-46C6-8303-9D256BBCB14F}" mergeInterval="0" personalView="1" maximized="1" windowWidth="1020" windowHeight="570" activeSheetId="3"/>
    <customWorkbookView name="esmishiguro - 個人用ビュー" guid="{73767BBA-AF8D-4953-9700-AAAB2744F29D}" mergeInterval="0" personalView="1" maximized="1" windowWidth="1300" windowHeight="590" activeSheetId="3"/>
    <customWorkbookView name="paoyan - 個人用ビュー" guid="{E3557D52-BD4C-452C-B1CF-531320DE7FC1}" mergeInterval="0" personalView="1" maximized="1" windowWidth="1020" windowHeight="592" tabRatio="335" activeSheetId="3"/>
    <customWorkbookView name="0927880　鈴木尚人 - 個人用ビュー" guid="{9CAE8AC6-524E-4CBD-AC05-CAD71D74A8CB}" mergeInterval="0" personalView="1" maximized="1" windowWidth="1180" windowHeight="665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LiuFan - 個人用ビュー" guid="{179682AD-88A5-48E7-90FE-C00C8657731B}" mergeInterval="0" personalView="1" maximized="1" windowWidth="1328" windowHeight="586" activeSheetId="3"/>
    <customWorkbookView name="TGSD - 個人用ビュー" guid="{5BFFE39F-FE4E-43B4-8E90-62B8F09ECD7E}" mergeInterval="0" personalView="1" maximized="1" windowWidth="1436" windowHeight="728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chenkeyu - 個人用ビュー" guid="{4D81BB8C-E3F3-4CF9-B2A3-3E4B928F043B}" mergeInterval="0" personalView="1" maximized="1" windowWidth="1436" windowHeight="668" tabRatio="421" activeSheetId="3"/>
  </customWorkbookViews>
</workbook>
</file>

<file path=xl/calcChain.xml><?xml version="1.0" encoding="utf-8"?>
<calcChain xmlns="http://schemas.openxmlformats.org/spreadsheetml/2006/main">
  <c r="A23" i="3" l="1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D11" i="14" l="1"/>
  <c r="D12" i="14"/>
  <c r="D13" i="14"/>
  <c r="D14" i="14"/>
  <c r="D15" i="14"/>
  <c r="D16" i="14" l="1"/>
</calcChain>
</file>

<file path=xl/sharedStrings.xml><?xml version="1.0" encoding="utf-8"?>
<sst xmlns="http://schemas.openxmlformats.org/spreadsheetml/2006/main" count="429" uniqueCount="240">
  <si>
    <t>仕様不明確</t>
    <rPh sb="0" eb="2">
      <t>シヨウ</t>
    </rPh>
    <rPh sb="2" eb="5">
      <t>フメイカク</t>
    </rPh>
    <phoneticPr fontId="2"/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</si>
  <si>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</si>
  <si>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</si>
  <si>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</si>
  <si>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</si>
  <si>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</si>
  <si>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</si>
  <si>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</si>
  <si>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  <phoneticPr fontId="2"/>
  </si>
  <si>
    <t>ドキュメント</t>
    <phoneticPr fontId="2"/>
  </si>
  <si>
    <t>シート</t>
    <phoneticPr fontId="2"/>
  </si>
  <si>
    <t>№</t>
    <phoneticPr fontId="2"/>
  </si>
  <si>
    <t>李国全</t>
    <phoneticPr fontId="2"/>
  </si>
  <si>
    <t>田新科</t>
    <phoneticPr fontId="2"/>
  </si>
  <si>
    <t>田新科</t>
    <phoneticPr fontId="2"/>
  </si>
  <si>
    <t>m_KFT05_0101</t>
    <phoneticPr fontId="2"/>
  </si>
  <si>
    <t>設計書
修正完了
予定日</t>
    <rPh sb="0" eb="2">
      <t>セッケイ</t>
    </rPh>
    <rPh sb="2" eb="3">
      <t>ショ</t>
    </rPh>
    <rPh sb="4" eb="6">
      <t>シュウセイ</t>
    </rPh>
    <rPh sb="6" eb="8">
      <t>カンリョウ</t>
    </rPh>
    <rPh sb="9" eb="11">
      <t>ヨテイ</t>
    </rPh>
    <rPh sb="11" eb="12">
      <t>ヒ</t>
    </rPh>
    <phoneticPr fontId="2"/>
  </si>
  <si>
    <t>回答
確認日</t>
    <rPh sb="0" eb="2">
      <t>カイトウ</t>
    </rPh>
    <rPh sb="3" eb="5">
      <t>カクニン</t>
    </rPh>
    <rPh sb="5" eb="6">
      <t>ビ</t>
    </rPh>
    <phoneticPr fontId="2"/>
  </si>
  <si>
    <t>確認</t>
    <rPh sb="0" eb="2">
      <t>カクニン</t>
    </rPh>
    <phoneticPr fontId="2"/>
  </si>
  <si>
    <t>陳科宇</t>
    <phoneticPr fontId="2"/>
  </si>
  <si>
    <t>徐称</t>
    <phoneticPr fontId="2"/>
  </si>
  <si>
    <t>区分</t>
    <rPh sb="0" eb="2">
      <t>クブン</t>
    </rPh>
    <phoneticPr fontId="2"/>
  </si>
  <si>
    <t>回答</t>
    <rPh sb="0" eb="2">
      <t>カイトウ</t>
    </rPh>
    <phoneticPr fontId="2"/>
  </si>
  <si>
    <t>詳細一覧</t>
    <rPh sb="0" eb="2">
      <t>ショウサイ</t>
    </rPh>
    <rPh sb="2" eb="4">
      <t>イチラン</t>
    </rPh>
    <phoneticPr fontId="2"/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</si>
  <si>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</si>
  <si>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  <phoneticPr fontId="2"/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</si>
  <si>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</si>
  <si>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</si>
  <si>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</si>
  <si>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</si>
  <si>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  <rPh sb="0" eb="2">
      <t>シツモン</t>
    </rPh>
    <rPh sb="3" eb="5">
      <t>ジュリョウ</t>
    </rPh>
    <rPh sb="5" eb="6">
      <t>ビ</t>
    </rPh>
    <phoneticPr fontId="2"/>
  </si>
  <si>
    <t>設計書
修正日</t>
    <rPh sb="0" eb="2">
      <t>セッケイ</t>
    </rPh>
    <rPh sb="2" eb="3">
      <t>ショ</t>
    </rPh>
    <rPh sb="4" eb="6">
      <t>シュウセイ</t>
    </rPh>
    <rPh sb="6" eb="7">
      <t>ヒ</t>
    </rPh>
    <phoneticPr fontId="2"/>
  </si>
  <si>
    <t>質問原因</t>
    <rPh sb="0" eb="2">
      <t>シツモン</t>
    </rPh>
    <rPh sb="2" eb="4">
      <t>ゲンイン</t>
    </rPh>
    <phoneticPr fontId="2"/>
  </si>
  <si>
    <t>m_KFT8K_0101</t>
  </si>
  <si>
    <t>m_KFT73_0101</t>
  </si>
  <si>
    <t>m_KFT73_0201</t>
  </si>
  <si>
    <t>m_KFT79_0101</t>
  </si>
  <si>
    <t>m_KFT79_0201</t>
  </si>
  <si>
    <t>仕様修正要</t>
    <rPh sb="0" eb="2">
      <t>シヨウ</t>
    </rPh>
    <rPh sb="2" eb="4">
      <t>シュウセイ</t>
    </rPh>
    <rPh sb="4" eb="5">
      <t>ヨウ</t>
    </rPh>
    <phoneticPr fontId="2"/>
  </si>
  <si>
    <t>仕様変更</t>
    <rPh sb="0" eb="2">
      <t>シヨウ</t>
    </rPh>
    <rPh sb="2" eb="4">
      <t>ヘンコウ</t>
    </rPh>
    <phoneticPr fontId="2"/>
  </si>
  <si>
    <t>個数</t>
    <rPh sb="0" eb="2">
      <t>コスウ</t>
    </rPh>
    <phoneticPr fontId="2"/>
  </si>
  <si>
    <t>10、11、12、13</t>
    <phoneticPr fontId="2"/>
  </si>
  <si>
    <t>回答・確認</t>
    <rPh sb="0" eb="2">
      <t>カイトウ</t>
    </rPh>
    <rPh sb="3" eb="5">
      <t>カクニン</t>
    </rPh>
    <phoneticPr fontId="2"/>
  </si>
  <si>
    <t>m_KFT8L_0101</t>
  </si>
  <si>
    <t>m_KFT05_0104</t>
  </si>
  <si>
    <t>李明賽</t>
    <phoneticPr fontId="2"/>
  </si>
  <si>
    <t>韓錦那</t>
    <phoneticPr fontId="2"/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</si>
  <si>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</si>
  <si>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</si>
  <si>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</si>
  <si>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</si>
  <si>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</si>
  <si>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  <rPh sb="0" eb="2">
      <t>カクニン</t>
    </rPh>
    <rPh sb="2" eb="3">
      <t>シャ</t>
    </rPh>
    <phoneticPr fontId="2"/>
  </si>
  <si>
    <t>回答
期限</t>
    <rPh sb="0" eb="2">
      <t>カイトウ</t>
    </rPh>
    <rPh sb="3" eb="5">
      <t>キゲン</t>
    </rPh>
    <phoneticPr fontId="2"/>
  </si>
  <si>
    <t>緊急
度</t>
    <rPh sb="0" eb="2">
      <t>キンキュウ</t>
    </rPh>
    <rPh sb="3" eb="4">
      <t>タビ</t>
    </rPh>
    <phoneticPr fontId="2"/>
  </si>
  <si>
    <t>ＣＤ精算立替情報作成</t>
  </si>
  <si>
    <t>ＣＤ利用精算情報作成</t>
  </si>
  <si>
    <t>ＱＡ起票者記入欄</t>
    <rPh sb="2" eb="4">
      <t>キヒョウ</t>
    </rPh>
    <rPh sb="4" eb="5">
      <t>シャ</t>
    </rPh>
    <rPh sb="5" eb="7">
      <t>キニュウ</t>
    </rPh>
    <rPh sb="7" eb="8">
      <t>ラン</t>
    </rPh>
    <phoneticPr fontId="2"/>
  </si>
  <si>
    <t>アクワイアラ売上情報作成</t>
  </si>
  <si>
    <t>機能名称</t>
    <rPh sb="2" eb="4">
      <t>メイショウ</t>
    </rPh>
    <phoneticPr fontId="2"/>
  </si>
  <si>
    <t>担当者</t>
    <rPh sb="0" eb="3">
      <t>タントウシャ</t>
    </rPh>
    <phoneticPr fontId="2"/>
  </si>
  <si>
    <t>回答者記入欄</t>
    <rPh sb="0" eb="2">
      <t>カイトウ</t>
    </rPh>
    <rPh sb="2" eb="3">
      <t>シャ</t>
    </rPh>
    <rPh sb="3" eb="5">
      <t>キニュウ</t>
    </rPh>
    <rPh sb="5" eb="6">
      <t>ラン</t>
    </rPh>
    <phoneticPr fontId="2"/>
  </si>
  <si>
    <t>保証返済自動仕訳ファイル作成</t>
  </si>
  <si>
    <t>22、23、24、39</t>
    <phoneticPr fontId="2"/>
  </si>
  <si>
    <t>28、29</t>
    <phoneticPr fontId="2"/>
  </si>
  <si>
    <t>16、37</t>
    <phoneticPr fontId="2"/>
  </si>
  <si>
    <t>ｉＤブランド精算情報リスト作成</t>
  </si>
  <si>
    <t>ｉＤブランド精算表作成</t>
  </si>
  <si>
    <t>ＣＤ日次精算データ作成</t>
  </si>
  <si>
    <t>m_KFT18_0101</t>
  </si>
  <si>
    <t>李揚</t>
    <phoneticPr fontId="2"/>
  </si>
  <si>
    <t>銀行保証ローン種別チェックリスト作成</t>
  </si>
  <si>
    <t>団信保険料トラン作成</t>
  </si>
  <si>
    <t>融資金受入自動仕訳作成</t>
  </si>
  <si>
    <t>設計書
修正要否</t>
    <rPh sb="0" eb="2">
      <t>セッケイ</t>
    </rPh>
    <rPh sb="2" eb="3">
      <t>ショ</t>
    </rPh>
    <rPh sb="4" eb="6">
      <t>シュウセイ</t>
    </rPh>
    <rPh sb="6" eb="7">
      <t>ヨウ</t>
    </rPh>
    <rPh sb="7" eb="8">
      <t>ヒ</t>
    </rPh>
    <phoneticPr fontId="2"/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</si>
  <si>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</si>
  <si>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</si>
  <si>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</si>
  <si>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</si>
  <si>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  <phoneticPr fontId="2"/>
  </si>
  <si>
    <t>46、52</t>
    <phoneticPr fontId="2"/>
  </si>
  <si>
    <t>53、54、55、56、57</t>
    <phoneticPr fontId="2"/>
  </si>
  <si>
    <t>50、51</t>
    <phoneticPr fontId="2"/>
  </si>
  <si>
    <t>陳科宇</t>
  </si>
  <si>
    <t>作間</t>
  </si>
  <si>
    <t>要</t>
  </si>
  <si>
    <t/>
  </si>
  <si>
    <t>m_KFT05_0106</t>
  </si>
  <si>
    <t>仕様反映状態</t>
    <phoneticPr fontId="2"/>
  </si>
  <si>
    <t>m_KFT04_0101</t>
  </si>
  <si>
    <t>呂炳輝</t>
  </si>
  <si>
    <t>李国全</t>
  </si>
  <si>
    <t>理解不足</t>
    <rPh sb="0" eb="2">
      <t>リカイ</t>
    </rPh>
    <rPh sb="2" eb="4">
      <t>フソク</t>
    </rPh>
    <phoneticPr fontId="2"/>
  </si>
  <si>
    <t>m_KFT19_0101</t>
  </si>
  <si>
    <t>m_KFT30_0101</t>
  </si>
  <si>
    <t>m_KFT31_0101</t>
  </si>
  <si>
    <t>ＭＪ売上精算情報作成</t>
  </si>
  <si>
    <t>回答日</t>
    <rPh sb="0" eb="2">
      <t>カイトウ</t>
    </rPh>
    <rPh sb="2" eb="3">
      <t>ビ</t>
    </rPh>
    <phoneticPr fontId="2"/>
  </si>
  <si>
    <t>KFT180101_マッピング仕様書（ＣＤ日次精算データ作成）.xls</t>
  </si>
  <si>
    <t>25、26、27、30、45</t>
    <phoneticPr fontId="2"/>
  </si>
  <si>
    <t>済</t>
  </si>
  <si>
    <t>処理定義書（マッピング）</t>
  </si>
  <si>
    <t>14、40、41</t>
    <phoneticPr fontId="2"/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</si>
  <si>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</si>
  <si>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</si>
  <si>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</si>
  <si>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</si>
  <si>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</si>
  <si>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</si>
  <si>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</si>
  <si>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  <phoneticPr fontId="2"/>
  </si>
  <si>
    <t>添付
有無</t>
    <rPh sb="0" eb="2">
      <t>テンプ</t>
    </rPh>
    <rPh sb="3" eb="5">
      <t>ウム</t>
    </rPh>
    <phoneticPr fontId="2"/>
  </si>
  <si>
    <t>中</t>
  </si>
  <si>
    <t>合計</t>
    <rPh sb="0" eb="2">
      <t>ゴウケイ</t>
    </rPh>
    <phoneticPr fontId="2"/>
  </si>
  <si>
    <t>資料不備</t>
    <rPh sb="0" eb="2">
      <t>シリョウ</t>
    </rPh>
    <rPh sb="2" eb="4">
      <t>フビ</t>
    </rPh>
    <phoneticPr fontId="2"/>
  </si>
  <si>
    <t>m_KFT05_0102</t>
  </si>
  <si>
    <t>m_KFT05_0103</t>
  </si>
  <si>
    <t>提出</t>
    <rPh sb="0" eb="2">
      <t>テイシュツ</t>
    </rPh>
    <phoneticPr fontId="2"/>
  </si>
  <si>
    <t>m_KFT05_0201</t>
  </si>
  <si>
    <t>機能</t>
    <rPh sb="0" eb="2">
      <t>キノウ</t>
    </rPh>
    <phoneticPr fontId="2"/>
  </si>
  <si>
    <t>備考</t>
    <rPh sb="0" eb="2">
      <t>ビコウ</t>
    </rPh>
    <phoneticPr fontId="2"/>
  </si>
  <si>
    <t>記入者</t>
    <rPh sb="0" eb="2">
      <t>キニュウ</t>
    </rPh>
    <rPh sb="2" eb="3">
      <t>シャ</t>
    </rPh>
    <phoneticPr fontId="2"/>
  </si>
  <si>
    <t>20、21</t>
    <phoneticPr fontId="2"/>
  </si>
  <si>
    <t>回答
予定日</t>
    <rPh sb="0" eb="2">
      <t>カイトウ</t>
    </rPh>
    <rPh sb="3" eb="5">
      <t>ヨテイ</t>
    </rPh>
    <rPh sb="5" eb="6">
      <t>ビ</t>
    </rPh>
    <phoneticPr fontId="2"/>
  </si>
  <si>
    <t>m_KFT83_0101</t>
  </si>
  <si>
    <t>m_KFT88_0101</t>
  </si>
  <si>
    <t>ＣＡＦＩＳ・ＣＤ精算資料（銀行ＣＤ）作成</t>
  </si>
  <si>
    <t>QA・指摘事項</t>
    <rPh sb="3" eb="5">
      <t>シテキ</t>
    </rPh>
    <rPh sb="5" eb="7">
      <t>ジコウ</t>
    </rPh>
    <phoneticPr fontId="2"/>
  </si>
  <si>
    <t>黄龍</t>
    <phoneticPr fontId="2"/>
  </si>
  <si>
    <t>呂炳輝</t>
    <phoneticPr fontId="2"/>
  </si>
  <si>
    <t>回答者</t>
    <rPh sb="0" eb="2">
      <t>カイトウ</t>
    </rPh>
    <rPh sb="2" eb="3">
      <t>シャ</t>
    </rPh>
    <phoneticPr fontId="2"/>
  </si>
  <si>
    <t>状態</t>
    <rPh sb="0" eb="2">
      <t>ジョウタイ</t>
    </rPh>
    <phoneticPr fontId="2"/>
  </si>
  <si>
    <t>記入日</t>
    <rPh sb="0" eb="2">
      <t>キニュウ</t>
    </rPh>
    <rPh sb="2" eb="3">
      <t>ビ</t>
    </rPh>
    <phoneticPr fontId="2"/>
  </si>
  <si>
    <t>1、2、3、4、5、6、31、32、33、34</t>
    <phoneticPr fontId="2"/>
  </si>
  <si>
    <t>勤怠承認詳細画面</t>
    <phoneticPr fontId="28"/>
  </si>
  <si>
    <t>詳細設計書_勤怠承認詳細_kanai.xlsx</t>
    <phoneticPr fontId="28"/>
  </si>
  <si>
    <t>画面項目</t>
    <phoneticPr fontId="28"/>
  </si>
  <si>
    <t>なし</t>
    <phoneticPr fontId="28"/>
  </si>
  <si>
    <t>あり</t>
    <phoneticPr fontId="28"/>
  </si>
  <si>
    <t>Aさん</t>
    <phoneticPr fontId="28"/>
  </si>
  <si>
    <t>安　雪鑫</t>
    <phoneticPr fontId="28"/>
  </si>
  <si>
    <t>中</t>
    <phoneticPr fontId="28"/>
  </si>
  <si>
    <t>田中</t>
    <rPh sb="0" eb="2">
      <t>タナカ</t>
    </rPh>
    <phoneticPr fontId="28"/>
  </si>
  <si>
    <t>NO.6「実働時間」について、DB「勤怠実績」に存在していませんので、ご確認お願いします。
2023/6/20　追記
DB「」</t>
    <rPh sb="18" eb="20">
      <t>キンタイ</t>
    </rPh>
    <rPh sb="20" eb="22">
      <t>ジッセキ</t>
    </rPh>
    <rPh sb="24" eb="26">
      <t>ソンザイ</t>
    </rPh>
    <rPh sb="36" eb="38">
      <t>カクニン</t>
    </rPh>
    <rPh sb="39" eb="40">
      <t>ネガ</t>
    </rPh>
    <rPh sb="56" eb="58">
      <t>ツイキ</t>
    </rPh>
    <phoneticPr fontId="28"/>
  </si>
  <si>
    <t>ご指摘の通り、DB「勤怠実績」に「実働時間」を追加します。+N5:P6</t>
    <rPh sb="18" eb="20">
      <t>キンタイ</t>
    </rPh>
    <rPh sb="20" eb="22">
      <t>ジッセキ</t>
    </rPh>
    <rPh sb="24" eb="26">
      <t>ソンザイ</t>
    </rPh>
    <phoneticPr fontId="28"/>
  </si>
  <si>
    <t>なし</t>
  </si>
  <si>
    <t>6月12日</t>
  </si>
  <si>
    <t>陳徐輝</t>
  </si>
  <si>
    <t>6月15日</t>
  </si>
  <si>
    <t>6/12 三</t>
  </si>
  <si>
    <t>6/13 四</t>
  </si>
  <si>
    <t>張</t>
  </si>
  <si>
    <t>6月13日</t>
  </si>
  <si>
    <t>　</t>
  </si>
  <si>
    <t>勤怠情報登録・更新</t>
  </si>
  <si>
    <t>詳細設計書_勤怠情報登録_知野.xlsx</t>
  </si>
  <si>
    <t>イベント処理</t>
  </si>
  <si>
    <t>活性化制御の項目を表示・非表示に変更してください。また、登録ボタンと更新ボタンで分けて制作してください。</t>
  </si>
  <si>
    <t>知野</t>
  </si>
  <si>
    <t>活性化制御の項目を表示・非表示に変更したのち、登録ボタンと更新ボタンで分けて制作しました。</t>
  </si>
  <si>
    <t>勤怠情報一覧（月別）</t>
  </si>
  <si>
    <t>詳細設計書_勤怠情報一覧（月別）.xlsx</t>
  </si>
  <si>
    <t>テーブル「勤怠実績」は使用しません。「勤怠年月」に変更して、それに対応するところも修正してください。</t>
  </si>
  <si>
    <t>ジョウ</t>
  </si>
  <si>
    <t>テーブルを勤怠年月に修正しました。</t>
  </si>
  <si>
    <t>勤怠情報一覧（日別）</t>
  </si>
  <si>
    <t>詳細設計書_勤怠情報一覧（日別）.xlsx</t>
  </si>
  <si>
    <t>「削除処理」を追加し、それに対応するところを修正してください</t>
  </si>
  <si>
    <t>長島</t>
  </si>
  <si>
    <t>6/13　火</t>
  </si>
  <si>
    <t>６/13　火</t>
  </si>
  <si>
    <t>削除処理を追加し、その他の箇所も修正しました。</t>
  </si>
  <si>
    <t>社員情報一覧</t>
  </si>
  <si>
    <t>社員情報一覧.xlsx</t>
  </si>
  <si>
    <t>’社員情報一覧’の社員IDは’社員情報登録・更新’画面に遷移するリングを付ける必要があると考えられます。</t>
  </si>
  <si>
    <t>劉金澤</t>
  </si>
  <si>
    <t>6/14 水</t>
  </si>
  <si>
    <t>社員idにリングを付けました。</t>
  </si>
  <si>
    <t>6/14　火</t>
  </si>
  <si>
    <t>ログイン画面</t>
  </si>
  <si>
    <t>詳細設計書_ログイン画面.xlsx</t>
  </si>
  <si>
    <t>活性化制御の項目を削除してください。</t>
  </si>
  <si>
    <t>6月14日</t>
  </si>
  <si>
    <t>高菁雨</t>
  </si>
  <si>
    <t>活性化制御の項目を削除しました。</t>
  </si>
  <si>
    <t>勤怠承認詳細画面</t>
  </si>
  <si>
    <t>詳細設計書_勤怠承認詳細画面.xlsx</t>
  </si>
  <si>
    <t>イベント情報</t>
  </si>
  <si>
    <t>承認・却下ボタンの処理を一つしてください。</t>
  </si>
  <si>
    <t>承認・却下ボタンの処理を修正しました。</t>
  </si>
  <si>
    <t>勤怠承一覧画面</t>
    <rPh sb="5" eb="7">
      <t>ガメン</t>
    </rPh>
    <phoneticPr fontId="28"/>
  </si>
  <si>
    <t>詳細設計書_勤怠承一覧_陳晨.xlsx</t>
  </si>
  <si>
    <t>画面項目</t>
  </si>
  <si>
    <t>イベント処理には「メンテナンス画面一覧」画面へ遷移する記事が足りないと思います。ご確認お願いします。</t>
    <rPh sb="27" eb="29">
      <t>キジ</t>
    </rPh>
    <rPh sb="30" eb="31">
      <t>タ</t>
    </rPh>
    <rPh sb="35" eb="36">
      <t>オモ</t>
    </rPh>
    <phoneticPr fontId="28"/>
  </si>
  <si>
    <t>あり</t>
  </si>
  <si>
    <t>陳晨</t>
    <rPh sb="0" eb="2">
      <t>チンシン</t>
    </rPh>
    <phoneticPr fontId="28"/>
  </si>
  <si>
    <t>ご指摘の通り、イベント処理に「メンテナンス画面一覧」画面へ遷移する記事を追加します</t>
    <rPh sb="36" eb="38">
      <t>ツイカ</t>
    </rPh>
    <phoneticPr fontId="28"/>
  </si>
  <si>
    <t>理解不足</t>
  </si>
  <si>
    <t>社員情報登録・更新</t>
    <phoneticPr fontId="28"/>
  </si>
  <si>
    <t>詳細設計書_社員情報登録・更新_施楠豪</t>
  </si>
  <si>
    <t>社員IDの初期値の記述が自動取得ののみ書かれていますが、
更新はDBから取得と思われますので、ご確認お願いします。</t>
    <rPh sb="5" eb="8">
      <t>ショキチ</t>
    </rPh>
    <rPh sb="9" eb="11">
      <t>キジュツ</t>
    </rPh>
    <rPh sb="12" eb="14">
      <t>ジドウ</t>
    </rPh>
    <rPh sb="14" eb="16">
      <t>シュトク</t>
    </rPh>
    <rPh sb="19" eb="20">
      <t>カ</t>
    </rPh>
    <rPh sb="29" eb="31">
      <t>コウシン</t>
    </rPh>
    <rPh sb="36" eb="38">
      <t>シュトク</t>
    </rPh>
    <rPh sb="39" eb="40">
      <t>オモ</t>
    </rPh>
    <rPh sb="48" eb="50">
      <t>カクニン</t>
    </rPh>
    <rPh sb="51" eb="52">
      <t>ネガキジュツ</t>
    </rPh>
    <phoneticPr fontId="28"/>
  </si>
  <si>
    <t>施</t>
    <rPh sb="0" eb="1">
      <t>シ</t>
    </rPh>
    <phoneticPr fontId="28"/>
  </si>
  <si>
    <t>ご指摘通りに更新の時は、DBから取得で正しいですので、追加記述います。</t>
    <rPh sb="1" eb="3">
      <t>シテキ</t>
    </rPh>
    <rPh sb="3" eb="4">
      <t>ドオ</t>
    </rPh>
    <rPh sb="6" eb="8">
      <t>コウシン</t>
    </rPh>
    <rPh sb="9" eb="10">
      <t>トキ</t>
    </rPh>
    <rPh sb="16" eb="18">
      <t>シュトク</t>
    </rPh>
    <rPh sb="19" eb="20">
      <t>タダ</t>
    </rPh>
    <rPh sb="27" eb="29">
      <t>ツイカ</t>
    </rPh>
    <rPh sb="29" eb="31">
      <t>キジュツ</t>
    </rPh>
    <phoneticPr fontId="28"/>
  </si>
  <si>
    <t>詳細設計書_勤怠管理日別_林松_RV</t>
    <phoneticPr fontId="28"/>
  </si>
  <si>
    <t>項目名称の勤務区分は社員所属もしくは作業内容の区別は
何でしょうか</t>
    <phoneticPr fontId="28"/>
  </si>
  <si>
    <t>林松</t>
    <phoneticPr fontId="28"/>
  </si>
  <si>
    <t>低</t>
    <phoneticPr fontId="28"/>
  </si>
  <si>
    <t>作業内容は具体的に毎日入力する内容です。</t>
    <phoneticPr fontId="28"/>
  </si>
  <si>
    <t>詳細設計書_ログイン＿陳委芹</t>
  </si>
  <si>
    <t>IO関連</t>
  </si>
  <si>
    <t>ログイン後、画面一覧へ画面遷移します。 普通社員の場合、画面一覧には社員情報登録・更新と勤怠情報一覧（月別）と表示されます。  管理者の場合、画面一覧には社員情報登録・更新や社員情報一覧や勤怠情報一覧（月別）や勤怠承認一覧などと表示されます。</t>
  </si>
  <si>
    <t>陳委芹</t>
  </si>
  <si>
    <t xml:space="preserve">施楠豪 </t>
  </si>
  <si>
    <t>ご指摘の通り、正しい画面一覧を追加いたします</t>
  </si>
  <si>
    <t>陳</t>
  </si>
  <si>
    <t>「社員ID」と「パスワード」の分類をテキストボックスに変更します。</t>
  </si>
  <si>
    <t>ご指摘の通り、「社員ID」と「パスワード」の分類を変更させていただきます。</t>
  </si>
  <si>
    <t>修正画面制御、抽出項目、抽出条件、数値判定</t>
  </si>
  <si>
    <t>画面イメージ</t>
  </si>
  <si>
    <t>14行目のテーブルが12月以上あります。12月以上はいらないので下の部分は削除お願い致します。</t>
    <rPh sb="12" eb="13">
      <t>ガツ</t>
    </rPh>
    <rPh sb="13" eb="15">
      <t>イジョウ</t>
    </rPh>
    <rPh sb="22" eb="23">
      <t>ガツ</t>
    </rPh>
    <rPh sb="23" eb="25">
      <t>イジョウ</t>
    </rPh>
    <rPh sb="32" eb="33">
      <t>シタ</t>
    </rPh>
    <rPh sb="34" eb="36">
      <t>ブブン</t>
    </rPh>
    <rPh sb="37" eb="39">
      <t>サクジョ</t>
    </rPh>
    <rPh sb="40" eb="41">
      <t>ネガ</t>
    </rPh>
    <rPh sb="42" eb="43">
      <t>イタ</t>
    </rPh>
    <phoneticPr fontId="28"/>
  </si>
  <si>
    <t>あり
No.1</t>
  </si>
  <si>
    <t>イスンヒョン</t>
  </si>
  <si>
    <t>低</t>
  </si>
  <si>
    <t>ご指摘の通り、12月以上はいらないので修正致しました。
確認お願い致します。</t>
    <rPh sb="9" eb="12">
      <t>ガツイジョウ</t>
    </rPh>
    <rPh sb="19" eb="21">
      <t>シュウセイ</t>
    </rPh>
    <rPh sb="21" eb="22">
      <t>イタ</t>
    </rPh>
    <rPh sb="28" eb="30">
      <t>カクニン</t>
    </rPh>
    <rPh sb="31" eb="32">
      <t>ネガ</t>
    </rPh>
    <rPh sb="33" eb="34">
      <t>イタ</t>
    </rPh>
    <phoneticPr fontId="28"/>
  </si>
  <si>
    <t>仕様変更</t>
  </si>
  <si>
    <t>詳細設計書_社員情報一覧_賈則慧</t>
  </si>
  <si>
    <t>パラメータ一覧、テーブル一覧</t>
  </si>
  <si>
    <t>賈則慧</t>
  </si>
  <si>
    <t>施楠豪</t>
  </si>
  <si>
    <t>ご指摘の通り、正しい内容の補足をいたします</t>
  </si>
  <si>
    <t xml:space="preserve">詳細設計書_社員情報一覧_賈則慧 </t>
  </si>
  <si>
    <t>検索条件エリア、検索結果エリア</t>
  </si>
  <si>
    <t>賈則慧</t>
    <rPh sb="0" eb="2">
      <t>タナカ</t>
    </rPh>
    <phoneticPr fontId="28"/>
  </si>
  <si>
    <t>初期表示処理、検索ボタンクリック処理</t>
  </si>
  <si>
    <t>勤怠情報登録修正</t>
  </si>
  <si>
    <t>詳細設計書_勤怠情報登録修正詳細_壮壮.xlsx</t>
  </si>
  <si>
    <t>修正表示画面の非活性部分は記録番号はいらないので、ご確認お願いします。</t>
  </si>
  <si>
    <t>Aさん</t>
  </si>
  <si>
    <t>安　雪鑫</t>
  </si>
  <si>
    <t>壮　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</si>
</sst>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3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  <font>
      <sz val="11"/>
      <name val="ＭＳ Ｐ明朝"/>
      <family val="1"/>
    </font>
    <font>
      <sz val="11"/>
      <color rgb="FF444444"/>
      <name val="Meiryo UI"/>
      <family val="3"/>
      <charset val="128"/>
    </font>
    <font>
      <sz val="11"/>
      <name val="ＭＳ Ｐゴシック"/>
      <family val="2"/>
    </font>
    <font>
      <sz val="11"/>
      <name val="微软雅黑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</fills>
  <borders count="15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  <xf numFmtId="0" fontId="31" fillId="0" borderId="0"/>
  </cellStyleXfs>
  <cellXfs count="99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0" fontId="0" fillId="8" borderId="5" xfId="0" applyFill="1" applyBorder="1" applyAlignment="1">
      <alignment horizontal="center" vertical="center" wrapText="1"/>
    </xf>
    <xf numFmtId="0" fontId="29" fillId="8" borderId="5" xfId="0" applyFont="1" applyFill="1" applyBorder="1" applyAlignment="1">
      <alignment horizontal="center" vertical="center" wrapText="1"/>
    </xf>
    <xf numFmtId="179" fontId="1" fillId="0" borderId="5" xfId="6" applyNumberFormat="1" applyBorder="1" applyAlignment="1">
      <alignment horizontal="center" vertical="center" wrapText="1"/>
    </xf>
    <xf numFmtId="180" fontId="1" fillId="0" borderId="5" xfId="6" applyNumberFormat="1" applyBorder="1" applyAlignment="1">
      <alignment horizontal="center" vertical="center" wrapText="1"/>
    </xf>
    <xf numFmtId="0" fontId="1" fillId="0" borderId="5" xfId="6" applyBorder="1" applyAlignment="1">
      <alignment horizontal="center" vertical="center" wrapText="1"/>
    </xf>
    <xf numFmtId="180" fontId="4" fillId="0" borderId="5" xfId="6" applyNumberFormat="1" applyFont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center" vertical="center" wrapText="1"/>
    </xf>
    <xf numFmtId="179" fontId="4" fillId="9" borderId="5" xfId="6" applyNumberFormat="1" applyFont="1" applyFill="1" applyBorder="1" applyAlignment="1">
      <alignment horizontal="center" vertical="center" wrapText="1"/>
    </xf>
    <xf numFmtId="179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vertical="top" wrapText="1"/>
    </xf>
    <xf numFmtId="180" fontId="1" fillId="0" borderId="14" xfId="6" applyNumberFormat="1" applyBorder="1" applyAlignment="1">
      <alignment horizontal="center" vertical="top" wrapText="1"/>
    </xf>
    <xf numFmtId="179" fontId="1" fillId="0" borderId="14" xfId="6" applyNumberFormat="1" applyBorder="1" applyAlignment="1">
      <alignment horizontal="left" vertical="top" wrapText="1"/>
    </xf>
    <xf numFmtId="181" fontId="1" fillId="0" borderId="13" xfId="6" applyNumberFormat="1" applyBorder="1" applyAlignment="1">
      <alignment horizontal="center" vertical="top"/>
    </xf>
    <xf numFmtId="0" fontId="1" fillId="0" borderId="14" xfId="6" applyBorder="1" applyAlignment="1">
      <alignment vertical="top" wrapText="1"/>
    </xf>
    <xf numFmtId="179" fontId="4" fillId="0" borderId="14" xfId="6" applyNumberFormat="1" applyFont="1" applyBorder="1" applyAlignment="1">
      <alignment horizontal="left" vertical="top" wrapText="1"/>
    </xf>
    <xf numFmtId="0" fontId="17" fillId="0" borderId="5" xfId="61" applyFont="1" applyBorder="1" applyAlignment="1">
      <alignment vertical="center"/>
    </xf>
    <xf numFmtId="0" fontId="17" fillId="0" borderId="5" xfId="61" applyFont="1" applyBorder="1" applyAlignment="1">
      <alignment vertical="center" wrapText="1"/>
    </xf>
    <xf numFmtId="181" fontId="1" fillId="0" borderId="5" xfId="6" applyNumberFormat="1" applyBorder="1" applyAlignment="1">
      <alignment horizontal="center" vertical="top"/>
    </xf>
    <xf numFmtId="0" fontId="32" fillId="0" borderId="5" xfId="6" applyFont="1" applyBorder="1" applyAlignment="1">
      <alignment vertical="top" wrapText="1"/>
    </xf>
    <xf numFmtId="178" fontId="1" fillId="0" borderId="5" xfId="6" applyNumberFormat="1" applyBorder="1" applyAlignment="1">
      <alignment horizontal="center" vertical="top" wrapText="1"/>
    </xf>
    <xf numFmtId="180" fontId="1" fillId="9" borderId="5" xfId="6" applyNumberFormat="1" applyFill="1" applyBorder="1" applyAlignment="1">
      <alignment horizontal="center" vertical="top" wrapText="1"/>
    </xf>
    <xf numFmtId="179" fontId="1" fillId="10" borderId="5" xfId="6" applyNumberFormat="1" applyFill="1" applyBorder="1" applyAlignment="1">
      <alignment horizontal="center" vertical="top" wrapText="1"/>
    </xf>
    <xf numFmtId="179" fontId="1" fillId="10" borderId="5" xfId="6" applyNumberFormat="1" applyFill="1" applyBorder="1" applyAlignment="1">
      <alignment vertical="top" wrapText="1"/>
    </xf>
    <xf numFmtId="180" fontId="1" fillId="10" borderId="5" xfId="6" applyNumberFormat="1" applyFill="1" applyBorder="1" applyAlignment="1">
      <alignment horizontal="center" vertical="top" wrapText="1"/>
    </xf>
    <xf numFmtId="179" fontId="1" fillId="10" borderId="5" xfId="6" applyNumberFormat="1" applyFill="1" applyBorder="1" applyAlignment="1">
      <alignment horizontal="left" vertical="top" wrapText="1"/>
    </xf>
    <xf numFmtId="180" fontId="4" fillId="0" borderId="14" xfId="6" applyNumberFormat="1" applyFont="1" applyBorder="1" applyAlignment="1">
      <alignment horizontal="left" vertical="top" wrapText="1"/>
    </xf>
    <xf numFmtId="0" fontId="0" fillId="8" borderId="5" xfId="0" applyFill="1" applyBorder="1" applyAlignment="1">
      <alignment horizontal="center" vertical="center"/>
    </xf>
    <xf numFmtId="181" fontId="1" fillId="0" borderId="5" xfId="6" applyNumberFormat="1" applyBorder="1" applyAlignment="1">
      <alignment horizontal="center" vertical="center"/>
    </xf>
    <xf numFmtId="179" fontId="1" fillId="9" borderId="5" xfId="6" applyNumberFormat="1" applyFill="1" applyBorder="1"/>
    <xf numFmtId="0" fontId="30" fillId="9" borderId="5" xfId="0" applyFont="1" applyFill="1" applyBorder="1"/>
    <xf numFmtId="179" fontId="1" fillId="9" borderId="5" xfId="6" applyNumberFormat="1" applyFill="1" applyBorder="1" applyAlignment="1">
      <alignment vertical="top"/>
    </xf>
    <xf numFmtId="14" fontId="30" fillId="9" borderId="5" xfId="0" applyNumberFormat="1" applyFont="1" applyFill="1" applyBorder="1"/>
    <xf numFmtId="179" fontId="1" fillId="9" borderId="5" xfId="6" applyNumberFormat="1" applyFill="1" applyBorder="1" applyAlignment="1">
      <alignment horizontal="left"/>
    </xf>
    <xf numFmtId="179" fontId="1" fillId="9" borderId="5" xfId="6" applyNumberFormat="1" applyFill="1" applyBorder="1" applyAlignment="1">
      <alignment horizontal="center"/>
    </xf>
    <xf numFmtId="180" fontId="1" fillId="9" borderId="5" xfId="6" applyNumberFormat="1" applyFill="1" applyBorder="1" applyAlignment="1">
      <alignment horizontal="center"/>
    </xf>
    <xf numFmtId="178" fontId="1" fillId="9" borderId="5" xfId="6" applyNumberFormat="1" applyFill="1" applyBorder="1"/>
    <xf numFmtId="0" fontId="1" fillId="9" borderId="5" xfId="6" applyFill="1" applyBorder="1" applyAlignment="1">
      <alignment vertical="top" wrapText="1"/>
    </xf>
    <xf numFmtId="0" fontId="1" fillId="9" borderId="5" xfId="6" applyFill="1" applyBorder="1" applyAlignment="1">
      <alignment horizontal="center" vertical="center" wrapText="1"/>
    </xf>
    <xf numFmtId="181" fontId="1" fillId="9" borderId="5" xfId="6" applyNumberFormat="1" applyFill="1" applyBorder="1" applyAlignment="1">
      <alignment horizontal="center" vertical="center"/>
    </xf>
    <xf numFmtId="0" fontId="1" fillId="9" borderId="5" xfId="6" applyFill="1" applyBorder="1"/>
    <xf numFmtId="179" fontId="6" fillId="0" borderId="5" xfId="6" applyNumberFormat="1" applyFont="1" applyBorder="1" applyAlignment="1">
      <alignment horizontal="center"/>
    </xf>
    <xf numFmtId="179" fontId="6" fillId="0" borderId="5" xfId="6" applyNumberFormat="1" applyFont="1" applyBorder="1"/>
    <xf numFmtId="179" fontId="1" fillId="0" borderId="5" xfId="6" applyNumberFormat="1" applyBorder="1"/>
    <xf numFmtId="179" fontId="6" fillId="0" borderId="5" xfId="6" applyNumberFormat="1" applyFont="1" applyBorder="1" applyAlignment="1">
      <alignment vertical="top"/>
    </xf>
    <xf numFmtId="180" fontId="6" fillId="0" borderId="5" xfId="6" applyNumberFormat="1" applyFont="1" applyBorder="1" applyAlignment="1">
      <alignment horizontal="center"/>
    </xf>
    <xf numFmtId="179" fontId="6" fillId="0" borderId="5" xfId="6" applyNumberFormat="1" applyFont="1" applyBorder="1" applyAlignment="1">
      <alignment horizontal="left"/>
    </xf>
    <xf numFmtId="178" fontId="1" fillId="0" borderId="5" xfId="6" applyNumberFormat="1" applyBorder="1"/>
    <xf numFmtId="178" fontId="1" fillId="0" borderId="5" xfId="6" applyNumberFormat="1" applyBorder="1" applyAlignment="1">
      <alignment vertical="top" wrapText="1"/>
    </xf>
    <xf numFmtId="0" fontId="6" fillId="0" borderId="5" xfId="6" applyFont="1" applyBorder="1"/>
  </cellXfs>
  <cellStyles count="62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標準_詳細設計書_サンプル" xfId="61" xr:uid="{13105613-C41D-4A96-8C45-767C6D0CC289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53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20</c:v>
                  </c:pt>
                  <c:pt idx="1">
                    <c:v>1</c:v>
                  </c:pt>
                  <c:pt idx="2">
                    <c:v>0</c:v>
                  </c:pt>
                  <c:pt idx="3">
                    <c:v>0</c:v>
                  </c:pt>
                  <c:pt idx="4">
                    <c:v>4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20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2407920</xdr:colOff>
          <xdr:row>3</xdr:row>
          <xdr:rowOff>7620</xdr:rowOff>
        </xdr:from>
        <xdr:to>
          <xdr:col>3</xdr:col>
          <xdr:colOff>3154680</xdr:colOff>
          <xdr:row>4</xdr:row>
          <xdr:rowOff>144780</xdr:rowOff>
        </xdr:to>
        <xdr:sp macro="" textlink="">
          <xdr:nvSpPr>
            <xdr:cNvPr id="3073" name="btnGe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6</xdr:row>
      <xdr:rowOff>109538</xdr:rowOff>
    </xdr:from>
    <xdr:to>
      <xdr:col>11</xdr:col>
      <xdr:colOff>457200</xdr:colOff>
      <xdr:row>22</xdr:row>
      <xdr:rowOff>100013</xdr:rowOff>
    </xdr:to>
    <xdr:graphicFrame macro="">
      <xdr:nvGraphicFramePr>
        <xdr:cNvPr id="10667" name="Chart 1">
          <a:extLst>
            <a:ext uri="{FF2B5EF4-FFF2-40B4-BE49-F238E27FC236}">
              <a16:creationId xmlns:a16="http://schemas.microsoft.com/office/drawing/2014/main" id="{00000000-0008-0000-0100-0000AB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&#26032;AXIS&#22522;&#26412;&#35373;&#35336;\&#12487;&#12540;&#12479;&#12501;&#12525;&#12540;\&#12487;&#12540;&#12479;&#23450;&#326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26" Type="http://schemas.openxmlformats.org/officeDocument/2006/relationships/printerSettings" Target="../printerSettings/printerSettings27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5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24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23" Type="http://schemas.openxmlformats.org/officeDocument/2006/relationships/printerSettings" Target="../printerSettings/printerSettings24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2"/>
  <cols>
    <col min="3" max="3" width="11" bestFit="1" customWidth="1"/>
    <col min="4" max="4" width="45.44140625" bestFit="1" customWidth="1"/>
    <col min="5" max="5" width="10.88671875" customWidth="1"/>
    <col min="6" max="6" width="4.77734375" bestFit="1" customWidth="1"/>
    <col min="7" max="7" width="28.5546875" bestFit="1" customWidth="1"/>
  </cols>
  <sheetData>
    <row r="4" spans="3:7">
      <c r="E4" s="33" t="s">
        <v>117</v>
      </c>
      <c r="F4" s="33">
        <v>57</v>
      </c>
    </row>
    <row r="5" spans="3:7">
      <c r="E5" s="33" t="s">
        <v>22</v>
      </c>
      <c r="F5" s="33">
        <v>7</v>
      </c>
    </row>
    <row r="6" spans="3:7">
      <c r="E6" s="33" t="s">
        <v>18</v>
      </c>
      <c r="F6" s="33">
        <v>7</v>
      </c>
    </row>
    <row r="11" spans="3:7">
      <c r="C11" s="32" t="s">
        <v>79</v>
      </c>
      <c r="D11" s="32" t="s">
        <v>59</v>
      </c>
      <c r="E11" s="32" t="s">
        <v>60</v>
      </c>
      <c r="F11" s="32" t="s">
        <v>40</v>
      </c>
      <c r="G11" s="32" t="s">
        <v>23</v>
      </c>
    </row>
    <row r="12" spans="3:7">
      <c r="C12" s="35" t="s">
        <v>89</v>
      </c>
      <c r="D12" s="28" t="s">
        <v>29</v>
      </c>
      <c r="E12" s="29" t="s">
        <v>20</v>
      </c>
      <c r="F12" s="34">
        <v>4</v>
      </c>
      <c r="G12" s="36" t="s">
        <v>41</v>
      </c>
    </row>
    <row r="13" spans="3:7">
      <c r="C13" s="29" t="s">
        <v>15</v>
      </c>
      <c r="D13" s="29" t="s">
        <v>47</v>
      </c>
      <c r="E13" s="29"/>
      <c r="F13" s="34">
        <v>0</v>
      </c>
      <c r="G13" s="36"/>
    </row>
    <row r="14" spans="3:7">
      <c r="C14" s="29" t="s">
        <v>115</v>
      </c>
      <c r="D14" s="29" t="s">
        <v>48</v>
      </c>
      <c r="E14" s="31"/>
      <c r="F14" s="34">
        <v>0</v>
      </c>
      <c r="G14" s="36"/>
    </row>
    <row r="15" spans="3:7">
      <c r="C15" s="29" t="s">
        <v>116</v>
      </c>
      <c r="D15" s="29" t="s">
        <v>49</v>
      </c>
      <c r="E15" s="29" t="s">
        <v>13</v>
      </c>
      <c r="F15" s="34">
        <v>2</v>
      </c>
      <c r="G15" s="36" t="s">
        <v>80</v>
      </c>
    </row>
    <row r="16" spans="3:7">
      <c r="C16" s="29" t="s">
        <v>44</v>
      </c>
      <c r="D16" s="29" t="s">
        <v>29</v>
      </c>
      <c r="E16" s="29"/>
      <c r="F16" s="34">
        <v>0</v>
      </c>
      <c r="G16" s="36"/>
    </row>
    <row r="17" spans="3:7">
      <c r="C17" s="29" t="s">
        <v>109</v>
      </c>
      <c r="D17" s="29" t="s">
        <v>50</v>
      </c>
      <c r="E17" s="29"/>
      <c r="F17" s="34">
        <v>0</v>
      </c>
      <c r="G17" s="36"/>
    </row>
    <row r="18" spans="3:7">
      <c r="C18" s="29" t="s">
        <v>87</v>
      </c>
      <c r="D18" s="29" t="s">
        <v>51</v>
      </c>
      <c r="E18" s="29"/>
      <c r="F18" s="34">
        <v>0</v>
      </c>
      <c r="G18" s="36"/>
    </row>
    <row r="19" spans="3:7">
      <c r="C19" s="29" t="s">
        <v>118</v>
      </c>
      <c r="D19" s="29" t="s">
        <v>5</v>
      </c>
      <c r="E19" s="29"/>
      <c r="F19" s="34">
        <v>0</v>
      </c>
      <c r="G19" s="36"/>
    </row>
    <row r="20" spans="3:7">
      <c r="C20" s="29" t="s">
        <v>6</v>
      </c>
      <c r="D20" s="29" t="s">
        <v>66</v>
      </c>
      <c r="E20" s="29" t="s">
        <v>45</v>
      </c>
      <c r="F20" s="34">
        <v>5</v>
      </c>
      <c r="G20" s="36" t="s">
        <v>81</v>
      </c>
    </row>
    <row r="21" spans="3:7">
      <c r="C21" s="35" t="s">
        <v>7</v>
      </c>
      <c r="D21" s="29" t="s">
        <v>67</v>
      </c>
      <c r="E21" s="29"/>
      <c r="F21" s="34">
        <v>0</v>
      </c>
      <c r="G21" s="36"/>
    </row>
    <row r="22" spans="3:7">
      <c r="C22" s="29" t="s">
        <v>78</v>
      </c>
      <c r="D22" s="29" t="s">
        <v>68</v>
      </c>
      <c r="E22" s="29"/>
      <c r="F22" s="34">
        <v>0</v>
      </c>
      <c r="G22" s="36"/>
    </row>
    <row r="23" spans="3:7">
      <c r="C23" s="29" t="s">
        <v>28</v>
      </c>
      <c r="D23" s="29" t="s">
        <v>56</v>
      </c>
      <c r="E23" s="29" t="s">
        <v>46</v>
      </c>
      <c r="F23" s="34">
        <v>2</v>
      </c>
      <c r="G23" s="36" t="s">
        <v>82</v>
      </c>
    </row>
    <row r="24" spans="3:7">
      <c r="C24" s="35" t="s">
        <v>69</v>
      </c>
      <c r="D24" s="29" t="s">
        <v>126</v>
      </c>
      <c r="E24" s="29" t="s">
        <v>19</v>
      </c>
      <c r="F24" s="34">
        <v>10</v>
      </c>
      <c r="G24" s="36" t="s">
        <v>133</v>
      </c>
    </row>
    <row r="25" spans="3:7">
      <c r="C25" s="35" t="s">
        <v>93</v>
      </c>
      <c r="D25" s="29" t="s">
        <v>55</v>
      </c>
      <c r="E25" s="29"/>
      <c r="F25" s="34">
        <v>0</v>
      </c>
      <c r="G25" s="36"/>
    </row>
    <row r="26" spans="3:7">
      <c r="C26" s="29" t="s">
        <v>94</v>
      </c>
      <c r="D26" s="29" t="s">
        <v>77</v>
      </c>
      <c r="E26" s="29"/>
      <c r="F26" s="34">
        <v>0</v>
      </c>
      <c r="G26" s="36"/>
    </row>
    <row r="27" spans="3:7">
      <c r="C27" s="29" t="s">
        <v>95</v>
      </c>
      <c r="D27" s="29" t="s">
        <v>71</v>
      </c>
      <c r="E27" s="29" t="s">
        <v>70</v>
      </c>
      <c r="F27" s="34">
        <v>4</v>
      </c>
      <c r="G27" s="36" t="s">
        <v>63</v>
      </c>
    </row>
    <row r="28" spans="3:7">
      <c r="C28" s="29" t="s">
        <v>75</v>
      </c>
      <c r="D28" s="29" t="s">
        <v>105</v>
      </c>
      <c r="E28" s="29" t="s">
        <v>25</v>
      </c>
      <c r="F28" s="34">
        <v>3</v>
      </c>
      <c r="G28" s="36" t="s">
        <v>102</v>
      </c>
    </row>
    <row r="29" spans="3:7">
      <c r="C29" s="35" t="s">
        <v>103</v>
      </c>
      <c r="D29" s="29" t="s">
        <v>106</v>
      </c>
      <c r="E29" s="31"/>
      <c r="F29" s="34">
        <v>0</v>
      </c>
      <c r="G29" s="36"/>
    </row>
    <row r="30" spans="3:7">
      <c r="C30" s="35" t="s">
        <v>104</v>
      </c>
      <c r="D30" s="29" t="s">
        <v>107</v>
      </c>
      <c r="E30" s="29" t="s">
        <v>129</v>
      </c>
      <c r="F30" s="34">
        <v>2</v>
      </c>
      <c r="G30" s="36" t="s">
        <v>64</v>
      </c>
    </row>
    <row r="31" spans="3:7">
      <c r="C31" s="29" t="s">
        <v>34</v>
      </c>
      <c r="D31" s="29" t="s">
        <v>108</v>
      </c>
      <c r="E31" s="29" t="s">
        <v>90</v>
      </c>
      <c r="F31" s="34">
        <v>1</v>
      </c>
      <c r="G31" s="36">
        <v>48</v>
      </c>
    </row>
    <row r="32" spans="3:7">
      <c r="C32" s="29" t="s">
        <v>35</v>
      </c>
      <c r="D32" s="29" t="s">
        <v>72</v>
      </c>
      <c r="E32" s="29" t="s">
        <v>90</v>
      </c>
      <c r="F32" s="34">
        <v>1</v>
      </c>
      <c r="G32" s="36">
        <v>49</v>
      </c>
    </row>
    <row r="33" spans="3:7">
      <c r="C33" s="29" t="s">
        <v>36</v>
      </c>
      <c r="D33" s="29" t="s">
        <v>73</v>
      </c>
      <c r="E33" s="29"/>
      <c r="F33" s="34">
        <v>0</v>
      </c>
      <c r="G33" s="36"/>
    </row>
    <row r="34" spans="3:7">
      <c r="C34" s="29" t="s">
        <v>37</v>
      </c>
      <c r="D34" s="29" t="s">
        <v>1</v>
      </c>
      <c r="E34" s="29"/>
      <c r="F34" s="34">
        <v>0</v>
      </c>
      <c r="G34" s="36"/>
    </row>
    <row r="35" spans="3:7">
      <c r="C35" s="35" t="s">
        <v>124</v>
      </c>
      <c r="D35" s="29" t="s">
        <v>2</v>
      </c>
      <c r="E35" s="29" t="s">
        <v>14</v>
      </c>
      <c r="F35" s="34">
        <v>2</v>
      </c>
      <c r="G35" s="36" t="s">
        <v>65</v>
      </c>
    </row>
    <row r="36" spans="3:7">
      <c r="C36" s="35" t="s">
        <v>76</v>
      </c>
      <c r="D36" s="29" t="s">
        <v>3</v>
      </c>
      <c r="E36" s="29" t="s">
        <v>45</v>
      </c>
      <c r="F36" s="34">
        <v>4</v>
      </c>
      <c r="G36" s="36" t="s">
        <v>110</v>
      </c>
    </row>
    <row r="37" spans="3:7">
      <c r="C37" s="35" t="s">
        <v>125</v>
      </c>
      <c r="D37" s="29" t="s">
        <v>4</v>
      </c>
      <c r="E37" s="29" t="s">
        <v>12</v>
      </c>
      <c r="F37" s="34">
        <v>2</v>
      </c>
      <c r="G37" s="36" t="s">
        <v>122</v>
      </c>
    </row>
    <row r="38" spans="3:7">
      <c r="C38" s="29" t="s">
        <v>33</v>
      </c>
      <c r="D38" s="29" t="s">
        <v>62</v>
      </c>
      <c r="E38" s="29"/>
      <c r="F38" s="34">
        <v>0</v>
      </c>
      <c r="G38" s="36"/>
    </row>
    <row r="39" spans="3:7">
      <c r="C39" s="29" t="s">
        <v>43</v>
      </c>
      <c r="D39" s="29" t="s">
        <v>96</v>
      </c>
      <c r="E39" s="29" t="s">
        <v>91</v>
      </c>
      <c r="F39" s="34">
        <v>1</v>
      </c>
      <c r="G39" s="36">
        <v>44</v>
      </c>
    </row>
    <row r="40" spans="3:7">
      <c r="C40" s="35" t="s">
        <v>27</v>
      </c>
      <c r="D40" s="29" t="s">
        <v>58</v>
      </c>
      <c r="E40" s="29" t="s">
        <v>128</v>
      </c>
      <c r="F40" s="34">
        <v>5</v>
      </c>
      <c r="G40" s="36" t="s">
        <v>99</v>
      </c>
    </row>
    <row r="41" spans="3:7">
      <c r="C41" s="30" t="s">
        <v>113</v>
      </c>
      <c r="D41" s="33"/>
      <c r="E41" s="33"/>
      <c r="F41" s="33"/>
      <c r="G41" s="36"/>
    </row>
  </sheetData>
  <phoneticPr fontId="2"/>
  <conditionalFormatting sqref="C11:G11">
    <cfRule type="expression" dxfId="52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2407920</xdr:colOff>
                <xdr:row>3</xdr:row>
                <xdr:rowOff>7620</xdr:rowOff>
              </from>
              <to>
                <xdr:col>4</xdr:col>
                <xdr:colOff>38100</xdr:colOff>
                <xdr:row>4</xdr:row>
                <xdr:rowOff>137160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3.2"/>
  <cols>
    <col min="3" max="3" width="11" bestFit="1" customWidth="1"/>
    <col min="4" max="4" width="5.21875" bestFit="1" customWidth="1"/>
  </cols>
  <sheetData>
    <row r="10" spans="3:4">
      <c r="C10" s="49" t="s">
        <v>21</v>
      </c>
      <c r="D10" s="49" t="s">
        <v>40</v>
      </c>
    </row>
    <row r="11" spans="3:4">
      <c r="C11" s="44" t="s">
        <v>38</v>
      </c>
      <c r="D11" s="44">
        <f>COUNTIF(QA管理一覧表!Q:Q,"要")</f>
        <v>20</v>
      </c>
    </row>
    <row r="12" spans="3:4">
      <c r="C12" s="44" t="s">
        <v>39</v>
      </c>
      <c r="D12" s="44">
        <f>COUNTIF(QA管理一覧表!X:X,分析一覧!C12)</f>
        <v>1</v>
      </c>
    </row>
    <row r="13" spans="3:4">
      <c r="C13" s="44" t="s">
        <v>114</v>
      </c>
      <c r="D13" s="44">
        <f>COUNTIF(QA管理一覧表!X:X,分析一覧!C13)</f>
        <v>0</v>
      </c>
    </row>
    <row r="14" spans="3:4">
      <c r="C14" s="44" t="s">
        <v>0</v>
      </c>
      <c r="D14" s="44">
        <f>COUNTIF(QA管理一覧表!X:X,分析一覧!C14)</f>
        <v>0</v>
      </c>
    </row>
    <row r="15" spans="3:4">
      <c r="C15" s="44" t="s">
        <v>92</v>
      </c>
      <c r="D15" s="44">
        <f>COUNTIF(QA管理一覧表!X:X,分析一覧!C15)</f>
        <v>4</v>
      </c>
    </row>
    <row r="16" spans="3:4">
      <c r="C16" s="44" t="s">
        <v>113</v>
      </c>
      <c r="D16" s="44">
        <f>SUM(D11:D15)</f>
        <v>25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4"/>
  <sheetViews>
    <sheetView tabSelected="1" zoomScaleNormal="100" zoomScaleSheetLayoutView="85" workbookViewId="0">
      <pane xSplit="5" ySplit="3" topLeftCell="F4" activePane="bottomRight" state="frozenSplit"/>
      <selection pane="topRight"/>
      <selection pane="bottomLeft"/>
      <selection pane="bottomRight" activeCell="E19" sqref="E19"/>
    </sheetView>
  </sheetViews>
  <sheetFormatPr defaultColWidth="9" defaultRowHeight="13.2"/>
  <cols>
    <col min="1" max="1" width="7.5546875" style="24" customWidth="1"/>
    <col min="2" max="2" width="12.44140625" style="23" customWidth="1"/>
    <col min="3" max="3" width="20" style="23" customWidth="1"/>
    <col min="4" max="4" width="11.109375" style="23" customWidth="1"/>
    <col min="5" max="5" width="54.109375" style="15" customWidth="1"/>
    <col min="6" max="6" width="6.88671875" style="48" customWidth="1"/>
    <col min="7" max="7" width="8.44140625" style="25" customWidth="1"/>
    <col min="8" max="8" width="6.77734375" style="43" customWidth="1"/>
    <col min="9" max="9" width="6.44140625" style="43" customWidth="1"/>
    <col min="10" max="10" width="5.77734375" style="24" bestFit="1" customWidth="1"/>
    <col min="11" max="11" width="8.5546875" style="25" customWidth="1"/>
    <col min="12" max="12" width="7.5546875" style="18" customWidth="1"/>
    <col min="13" max="13" width="7.21875" style="18" customWidth="1"/>
    <col min="14" max="14" width="45.44140625" style="19" customWidth="1"/>
    <col min="15" max="15" width="8.21875" style="20" customWidth="1"/>
    <col min="16" max="16" width="8.44140625" style="19" customWidth="1"/>
    <col min="17" max="17" width="9.88671875" style="19" customWidth="1"/>
    <col min="18" max="19" width="8.77734375" style="20" customWidth="1"/>
    <col min="20" max="20" width="8.44140625" style="25" customWidth="1"/>
    <col min="21" max="21" width="5.5546875" style="24" customWidth="1"/>
    <col min="22" max="22" width="12.109375" style="23" customWidth="1"/>
    <col min="23" max="23" width="17.44140625" style="23" customWidth="1"/>
    <col min="24" max="24" width="11.44140625" style="22" customWidth="1"/>
    <col min="25" max="16384" width="9" style="22"/>
  </cols>
  <sheetData>
    <row r="1" spans="1:24" s="21" customFormat="1" ht="6.75" customHeight="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spans="1:24" ht="29.25" customHeight="1">
      <c r="A2" s="12" t="s">
        <v>57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61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spans="1:24" s="2" customFormat="1" ht="51.75" customHeight="1">
      <c r="A3" s="6" t="s">
        <v>11</v>
      </c>
      <c r="B3" s="6" t="s">
        <v>119</v>
      </c>
      <c r="C3" s="6" t="s">
        <v>9</v>
      </c>
      <c r="D3" s="6" t="s">
        <v>10</v>
      </c>
      <c r="E3" s="6" t="s">
        <v>127</v>
      </c>
      <c r="F3" s="47" t="s">
        <v>111</v>
      </c>
      <c r="G3" s="7" t="s">
        <v>132</v>
      </c>
      <c r="H3" s="6" t="s">
        <v>121</v>
      </c>
      <c r="I3" s="6" t="s">
        <v>52</v>
      </c>
      <c r="J3" s="6" t="s">
        <v>54</v>
      </c>
      <c r="K3" s="7" t="s">
        <v>53</v>
      </c>
      <c r="L3" s="3" t="s">
        <v>30</v>
      </c>
      <c r="M3" s="3" t="s">
        <v>123</v>
      </c>
      <c r="N3" s="1" t="s">
        <v>42</v>
      </c>
      <c r="O3" s="3" t="s">
        <v>97</v>
      </c>
      <c r="P3" s="1" t="s">
        <v>130</v>
      </c>
      <c r="Q3" s="1" t="s">
        <v>74</v>
      </c>
      <c r="R3" s="3" t="s">
        <v>31</v>
      </c>
      <c r="S3" s="3" t="s">
        <v>16</v>
      </c>
      <c r="T3" s="7" t="s">
        <v>17</v>
      </c>
      <c r="U3" s="6" t="s">
        <v>131</v>
      </c>
      <c r="V3" s="8" t="s">
        <v>88</v>
      </c>
      <c r="W3" s="6" t="s">
        <v>120</v>
      </c>
      <c r="X3" s="6" t="s">
        <v>32</v>
      </c>
    </row>
    <row r="4" spans="1:24" s="21" customFormat="1" ht="24" customHeight="1">
      <c r="A4" s="40">
        <v>1</v>
      </c>
      <c r="B4" s="26" t="s">
        <v>134</v>
      </c>
      <c r="C4" s="26" t="s">
        <v>98</v>
      </c>
      <c r="D4" s="26" t="s">
        <v>101</v>
      </c>
      <c r="E4" s="26" t="s">
        <v>26</v>
      </c>
      <c r="F4" s="26" t="s">
        <v>137</v>
      </c>
      <c r="G4" s="39">
        <v>41429</v>
      </c>
      <c r="H4" s="42" t="s">
        <v>83</v>
      </c>
      <c r="I4" s="42" t="s">
        <v>83</v>
      </c>
      <c r="J4" s="40" t="s">
        <v>112</v>
      </c>
      <c r="K4" s="39">
        <v>41432</v>
      </c>
      <c r="L4" s="27">
        <v>41430</v>
      </c>
      <c r="M4" s="27">
        <v>41431</v>
      </c>
      <c r="N4" s="37" t="s">
        <v>24</v>
      </c>
      <c r="O4" s="27">
        <v>41431</v>
      </c>
      <c r="P4" s="37" t="s">
        <v>84</v>
      </c>
      <c r="Q4" s="38" t="s">
        <v>85</v>
      </c>
      <c r="R4" s="27">
        <v>41431</v>
      </c>
      <c r="S4" s="27">
        <v>41431</v>
      </c>
      <c r="T4" s="5">
        <v>41431</v>
      </c>
      <c r="U4" s="4" t="s">
        <v>100</v>
      </c>
      <c r="V4" s="4" t="s">
        <v>100</v>
      </c>
      <c r="W4" s="4" t="s">
        <v>86</v>
      </c>
      <c r="X4" s="4" t="s">
        <v>86</v>
      </c>
    </row>
    <row r="5" spans="1:24" s="21" customFormat="1" ht="52.8">
      <c r="A5" s="58">
        <v>1</v>
      </c>
      <c r="B5" s="59" t="s">
        <v>134</v>
      </c>
      <c r="C5" s="59" t="s">
        <v>135</v>
      </c>
      <c r="D5" s="59" t="s">
        <v>136</v>
      </c>
      <c r="E5" s="59" t="s">
        <v>143</v>
      </c>
      <c r="F5" s="59" t="s">
        <v>138</v>
      </c>
      <c r="G5" s="60">
        <v>45086</v>
      </c>
      <c r="H5" s="61" t="s">
        <v>139</v>
      </c>
      <c r="I5" s="61" t="s">
        <v>140</v>
      </c>
      <c r="J5" s="58" t="s">
        <v>141</v>
      </c>
      <c r="K5" s="60">
        <v>45091</v>
      </c>
      <c r="L5" s="62">
        <v>45086</v>
      </c>
      <c r="M5" s="62">
        <v>45090</v>
      </c>
      <c r="N5" s="63" t="s">
        <v>144</v>
      </c>
      <c r="O5" s="62">
        <v>45090</v>
      </c>
      <c r="P5" s="63" t="s">
        <v>142</v>
      </c>
      <c r="Q5" s="38" t="s">
        <v>85</v>
      </c>
      <c r="R5" s="62">
        <v>45089</v>
      </c>
      <c r="S5" s="62">
        <v>45090</v>
      </c>
      <c r="T5" s="75">
        <v>45091</v>
      </c>
      <c r="U5" s="64" t="s">
        <v>100</v>
      </c>
      <c r="V5" s="64" t="s">
        <v>100</v>
      </c>
      <c r="W5" s="64"/>
      <c r="X5" s="64"/>
    </row>
    <row r="6" spans="1:24" s="21" customFormat="1" ht="118.8">
      <c r="A6" s="50">
        <f>ROW()-4</f>
        <v>2</v>
      </c>
      <c r="B6" s="50" t="s">
        <v>69</v>
      </c>
      <c r="C6" s="50" t="s">
        <v>98</v>
      </c>
      <c r="D6" s="50" t="s">
        <v>101</v>
      </c>
      <c r="E6" s="50" t="s">
        <v>26</v>
      </c>
      <c r="F6" s="50" t="s">
        <v>145</v>
      </c>
      <c r="G6" s="50" t="s">
        <v>146</v>
      </c>
      <c r="H6" s="50" t="s">
        <v>147</v>
      </c>
      <c r="I6" s="50" t="s">
        <v>147</v>
      </c>
      <c r="J6" s="50" t="s">
        <v>112</v>
      </c>
      <c r="K6" s="50" t="s">
        <v>148</v>
      </c>
      <c r="L6" s="76" t="s">
        <v>149</v>
      </c>
      <c r="M6" s="76" t="s">
        <v>150</v>
      </c>
      <c r="N6" s="50" t="s">
        <v>24</v>
      </c>
      <c r="O6" s="76" t="s">
        <v>150</v>
      </c>
      <c r="P6" s="50" t="s">
        <v>151</v>
      </c>
      <c r="Q6" s="50" t="s">
        <v>85</v>
      </c>
      <c r="R6" s="76" t="s">
        <v>150</v>
      </c>
      <c r="S6" s="76" t="s">
        <v>150</v>
      </c>
      <c r="T6" s="51" t="s">
        <v>152</v>
      </c>
      <c r="U6" s="51" t="s">
        <v>100</v>
      </c>
      <c r="V6" s="51" t="s">
        <v>100</v>
      </c>
      <c r="W6" s="51" t="s">
        <v>153</v>
      </c>
      <c r="X6" s="51" t="s">
        <v>153</v>
      </c>
    </row>
    <row r="7" spans="1:24" s="21" customFormat="1" ht="26.4">
      <c r="A7" s="50">
        <f t="shared" ref="A7:A23" si="0">ROW()-4</f>
        <v>3</v>
      </c>
      <c r="B7" s="52" t="s">
        <v>154</v>
      </c>
      <c r="C7" s="52" t="s">
        <v>155</v>
      </c>
      <c r="D7" s="52" t="s">
        <v>156</v>
      </c>
      <c r="E7" s="52" t="s">
        <v>157</v>
      </c>
      <c r="F7" s="52" t="s">
        <v>145</v>
      </c>
      <c r="G7" s="53">
        <v>45088</v>
      </c>
      <c r="H7" s="52" t="s">
        <v>158</v>
      </c>
      <c r="I7" s="52" t="s">
        <v>158</v>
      </c>
      <c r="J7" s="52" t="s">
        <v>112</v>
      </c>
      <c r="K7" s="53">
        <v>45092</v>
      </c>
      <c r="L7" s="77">
        <v>45088</v>
      </c>
      <c r="M7" s="77">
        <v>45089</v>
      </c>
      <c r="N7" s="54" t="s">
        <v>159</v>
      </c>
      <c r="O7" s="77">
        <v>45089</v>
      </c>
      <c r="P7" s="54" t="s">
        <v>158</v>
      </c>
      <c r="Q7" s="54" t="s">
        <v>85</v>
      </c>
      <c r="R7" s="77">
        <v>45089</v>
      </c>
      <c r="S7" s="77">
        <v>45089</v>
      </c>
      <c r="T7" s="55">
        <v>45090</v>
      </c>
      <c r="U7" s="56" t="s">
        <v>100</v>
      </c>
      <c r="V7" s="56" t="s">
        <v>100</v>
      </c>
      <c r="W7" s="56"/>
      <c r="X7" s="56"/>
    </row>
    <row r="8" spans="1:24" s="21" customFormat="1" ht="26.4">
      <c r="A8" s="50">
        <f t="shared" si="0"/>
        <v>4</v>
      </c>
      <c r="B8" s="52" t="s">
        <v>160</v>
      </c>
      <c r="C8" s="52" t="s">
        <v>161</v>
      </c>
      <c r="D8" s="52" t="s">
        <v>156</v>
      </c>
      <c r="E8" s="52" t="s">
        <v>162</v>
      </c>
      <c r="F8" s="52" t="s">
        <v>145</v>
      </c>
      <c r="G8" s="53">
        <v>45089</v>
      </c>
      <c r="H8" s="52" t="s">
        <v>163</v>
      </c>
      <c r="I8" s="52" t="s">
        <v>163</v>
      </c>
      <c r="J8" s="52" t="s">
        <v>112</v>
      </c>
      <c r="K8" s="53">
        <v>45092</v>
      </c>
      <c r="L8" s="77">
        <v>45090</v>
      </c>
      <c r="M8" s="77">
        <v>45090</v>
      </c>
      <c r="N8" s="54" t="s">
        <v>164</v>
      </c>
      <c r="O8" s="77">
        <v>45090</v>
      </c>
      <c r="P8" s="54" t="s">
        <v>163</v>
      </c>
      <c r="Q8" s="54" t="s">
        <v>85</v>
      </c>
      <c r="R8" s="77">
        <v>45090</v>
      </c>
      <c r="S8" s="77">
        <v>45090</v>
      </c>
      <c r="T8" s="55">
        <v>45090</v>
      </c>
      <c r="U8" s="56" t="s">
        <v>100</v>
      </c>
      <c r="V8" s="56" t="s">
        <v>100</v>
      </c>
      <c r="W8" s="56"/>
      <c r="X8" s="56"/>
    </row>
    <row r="9" spans="1:24" s="21" customFormat="1" ht="26.4">
      <c r="A9" s="50">
        <f t="shared" si="0"/>
        <v>5</v>
      </c>
      <c r="B9" s="52" t="s">
        <v>165</v>
      </c>
      <c r="C9" s="52" t="s">
        <v>166</v>
      </c>
      <c r="D9" s="52" t="s">
        <v>156</v>
      </c>
      <c r="E9" s="52" t="s">
        <v>167</v>
      </c>
      <c r="F9" s="52" t="s">
        <v>145</v>
      </c>
      <c r="G9" s="53">
        <v>45089</v>
      </c>
      <c r="H9" s="52" t="s">
        <v>168</v>
      </c>
      <c r="I9" s="52" t="s">
        <v>168</v>
      </c>
      <c r="J9" s="52" t="s">
        <v>112</v>
      </c>
      <c r="K9" s="53">
        <v>45092</v>
      </c>
      <c r="L9" s="77" t="s">
        <v>169</v>
      </c>
      <c r="M9" s="77" t="s">
        <v>170</v>
      </c>
      <c r="N9" s="54" t="s">
        <v>171</v>
      </c>
      <c r="O9" s="77" t="s">
        <v>169</v>
      </c>
      <c r="P9" s="54" t="s">
        <v>168</v>
      </c>
      <c r="Q9" s="54" t="s">
        <v>85</v>
      </c>
      <c r="R9" s="77" t="s">
        <v>169</v>
      </c>
      <c r="S9" s="77" t="s">
        <v>169</v>
      </c>
      <c r="T9" s="55">
        <v>45090</v>
      </c>
      <c r="U9" s="56" t="s">
        <v>100</v>
      </c>
      <c r="V9" s="56" t="s">
        <v>100</v>
      </c>
      <c r="W9" s="56"/>
      <c r="X9" s="56"/>
    </row>
    <row r="10" spans="1:24" s="21" customFormat="1" ht="26.4">
      <c r="A10" s="50">
        <f t="shared" si="0"/>
        <v>6</v>
      </c>
      <c r="B10" s="52" t="s">
        <v>172</v>
      </c>
      <c r="C10" s="52" t="s">
        <v>173</v>
      </c>
      <c r="D10" s="52" t="s">
        <v>156</v>
      </c>
      <c r="E10" s="52" t="s">
        <v>174</v>
      </c>
      <c r="F10" s="52" t="s">
        <v>145</v>
      </c>
      <c r="G10" s="53">
        <v>45091</v>
      </c>
      <c r="H10" s="52" t="s">
        <v>175</v>
      </c>
      <c r="I10" s="52" t="s">
        <v>175</v>
      </c>
      <c r="J10" s="52" t="s">
        <v>112</v>
      </c>
      <c r="K10" s="53">
        <v>45092</v>
      </c>
      <c r="L10" s="77" t="s">
        <v>176</v>
      </c>
      <c r="M10" s="77" t="s">
        <v>176</v>
      </c>
      <c r="N10" s="54" t="s">
        <v>177</v>
      </c>
      <c r="O10" s="77" t="s">
        <v>178</v>
      </c>
      <c r="P10" s="54" t="s">
        <v>175</v>
      </c>
      <c r="Q10" s="54" t="s">
        <v>85</v>
      </c>
      <c r="R10" s="77" t="s">
        <v>178</v>
      </c>
      <c r="S10" s="77" t="s">
        <v>178</v>
      </c>
      <c r="T10" s="77" t="s">
        <v>178</v>
      </c>
      <c r="U10" s="56" t="s">
        <v>100</v>
      </c>
      <c r="V10" s="56" t="s">
        <v>100</v>
      </c>
      <c r="W10" s="56"/>
      <c r="X10" s="56"/>
    </row>
    <row r="11" spans="1:24" ht="15">
      <c r="A11" s="50">
        <f t="shared" si="0"/>
        <v>7</v>
      </c>
      <c r="B11" s="78" t="s">
        <v>179</v>
      </c>
      <c r="C11" s="78" t="s">
        <v>180</v>
      </c>
      <c r="D11" s="78" t="s">
        <v>156</v>
      </c>
      <c r="E11" s="79" t="s">
        <v>181</v>
      </c>
      <c r="F11" s="80" t="s">
        <v>145</v>
      </c>
      <c r="G11" s="81" t="s">
        <v>182</v>
      </c>
      <c r="H11" s="82" t="s">
        <v>183</v>
      </c>
      <c r="I11" s="82" t="s">
        <v>183</v>
      </c>
      <c r="J11" s="83" t="s">
        <v>112</v>
      </c>
      <c r="K11" s="84" t="s">
        <v>148</v>
      </c>
      <c r="L11" s="85" t="s">
        <v>176</v>
      </c>
      <c r="M11" s="85" t="s">
        <v>176</v>
      </c>
      <c r="N11" s="86" t="s">
        <v>184</v>
      </c>
      <c r="O11" s="79" t="s">
        <v>176</v>
      </c>
      <c r="P11" s="86" t="s">
        <v>183</v>
      </c>
      <c r="Q11" s="87" t="s">
        <v>85</v>
      </c>
      <c r="R11" s="88" t="s">
        <v>178</v>
      </c>
      <c r="S11" s="88" t="s">
        <v>178</v>
      </c>
      <c r="T11" s="88" t="s">
        <v>178</v>
      </c>
      <c r="U11" s="57" t="s">
        <v>100</v>
      </c>
      <c r="V11" s="57" t="s">
        <v>100</v>
      </c>
      <c r="W11" s="78"/>
      <c r="X11" s="89"/>
    </row>
    <row r="12" spans="1:24" ht="15">
      <c r="A12" s="50">
        <f t="shared" si="0"/>
        <v>8</v>
      </c>
      <c r="B12" s="78" t="s">
        <v>185</v>
      </c>
      <c r="C12" s="78" t="s">
        <v>186</v>
      </c>
      <c r="D12" s="78" t="s">
        <v>187</v>
      </c>
      <c r="E12" s="78" t="s">
        <v>188</v>
      </c>
      <c r="F12" s="80" t="s">
        <v>145</v>
      </c>
      <c r="G12" s="84" t="s">
        <v>182</v>
      </c>
      <c r="H12" s="82" t="s">
        <v>183</v>
      </c>
      <c r="I12" s="82" t="s">
        <v>183</v>
      </c>
      <c r="J12" s="83" t="s">
        <v>112</v>
      </c>
      <c r="K12" s="84" t="s">
        <v>148</v>
      </c>
      <c r="L12" s="79" t="s">
        <v>176</v>
      </c>
      <c r="M12" s="85" t="s">
        <v>176</v>
      </c>
      <c r="N12" s="79" t="s">
        <v>189</v>
      </c>
      <c r="O12" s="79" t="s">
        <v>176</v>
      </c>
      <c r="P12" s="86" t="s">
        <v>183</v>
      </c>
      <c r="Q12" s="87" t="s">
        <v>85</v>
      </c>
      <c r="R12" s="88" t="s">
        <v>178</v>
      </c>
      <c r="S12" s="88" t="s">
        <v>178</v>
      </c>
      <c r="T12" s="88" t="s">
        <v>178</v>
      </c>
      <c r="U12" s="57" t="s">
        <v>100</v>
      </c>
      <c r="V12" s="57" t="s">
        <v>100</v>
      </c>
      <c r="W12" s="78"/>
      <c r="X12" s="89"/>
    </row>
    <row r="13" spans="1:24" ht="26.4">
      <c r="A13" s="50">
        <f t="shared" si="0"/>
        <v>9</v>
      </c>
      <c r="B13" s="26" t="s">
        <v>190</v>
      </c>
      <c r="C13" s="26" t="s">
        <v>191</v>
      </c>
      <c r="D13" s="26" t="s">
        <v>192</v>
      </c>
      <c r="E13" s="26" t="s">
        <v>193</v>
      </c>
      <c r="F13" s="26" t="s">
        <v>194</v>
      </c>
      <c r="G13" s="39">
        <v>45086</v>
      </c>
      <c r="H13" s="42" t="s">
        <v>195</v>
      </c>
      <c r="I13" s="42" t="s">
        <v>195</v>
      </c>
      <c r="J13" s="40" t="s">
        <v>112</v>
      </c>
      <c r="K13" s="39">
        <v>45091</v>
      </c>
      <c r="L13" s="67">
        <v>45086</v>
      </c>
      <c r="M13" s="67">
        <v>45086</v>
      </c>
      <c r="N13" s="37" t="s">
        <v>196</v>
      </c>
      <c r="O13" s="67">
        <v>45086</v>
      </c>
      <c r="P13" s="37" t="s">
        <v>195</v>
      </c>
      <c r="Q13" s="37" t="s">
        <v>85</v>
      </c>
      <c r="R13" s="67">
        <v>45086</v>
      </c>
      <c r="S13" s="67">
        <v>45086</v>
      </c>
      <c r="T13" s="5">
        <v>45086</v>
      </c>
      <c r="U13" s="4" t="s">
        <v>100</v>
      </c>
      <c r="V13" s="4" t="s">
        <v>100</v>
      </c>
      <c r="W13" s="4"/>
      <c r="X13" s="4" t="s">
        <v>197</v>
      </c>
    </row>
    <row r="14" spans="1:24" ht="26.4">
      <c r="A14" s="50">
        <f t="shared" si="0"/>
        <v>10</v>
      </c>
      <c r="B14" s="26" t="s">
        <v>198</v>
      </c>
      <c r="C14" s="26" t="s">
        <v>199</v>
      </c>
      <c r="D14" s="26" t="s">
        <v>136</v>
      </c>
      <c r="E14" s="26" t="s">
        <v>200</v>
      </c>
      <c r="F14" s="26" t="s">
        <v>137</v>
      </c>
      <c r="G14" s="39">
        <v>45089</v>
      </c>
      <c r="H14" s="42" t="s">
        <v>201</v>
      </c>
      <c r="I14" s="42" t="s">
        <v>201</v>
      </c>
      <c r="J14" s="40" t="s">
        <v>141</v>
      </c>
      <c r="K14" s="39">
        <v>45092</v>
      </c>
      <c r="L14" s="67">
        <v>45089</v>
      </c>
      <c r="M14" s="67">
        <v>45089</v>
      </c>
      <c r="N14" s="37" t="s">
        <v>202</v>
      </c>
      <c r="O14" s="67">
        <v>45089</v>
      </c>
      <c r="P14" s="37" t="s">
        <v>201</v>
      </c>
      <c r="Q14" s="37" t="s">
        <v>85</v>
      </c>
      <c r="R14" s="67">
        <v>45089</v>
      </c>
      <c r="S14" s="67">
        <v>45089</v>
      </c>
      <c r="T14" s="67">
        <v>45089</v>
      </c>
      <c r="U14" s="4" t="s">
        <v>100</v>
      </c>
      <c r="V14" s="4" t="s">
        <v>100</v>
      </c>
      <c r="W14" s="4"/>
      <c r="X14" s="4" t="s">
        <v>197</v>
      </c>
    </row>
    <row r="15" spans="1:24" ht="24">
      <c r="A15" s="50">
        <f t="shared" si="0"/>
        <v>11</v>
      </c>
      <c r="B15" s="65" t="s">
        <v>165</v>
      </c>
      <c r="C15" s="65" t="s">
        <v>203</v>
      </c>
      <c r="D15" s="65" t="s">
        <v>136</v>
      </c>
      <c r="E15" s="66" t="s">
        <v>204</v>
      </c>
      <c r="F15" s="65" t="s">
        <v>137</v>
      </c>
      <c r="G15" s="39">
        <v>45089</v>
      </c>
      <c r="H15" s="65" t="s">
        <v>205</v>
      </c>
      <c r="I15" s="65" t="s">
        <v>205</v>
      </c>
      <c r="J15" s="65" t="s">
        <v>206</v>
      </c>
      <c r="K15" s="39">
        <v>45094</v>
      </c>
      <c r="L15" s="67">
        <v>45089</v>
      </c>
      <c r="M15" s="67">
        <v>45089</v>
      </c>
      <c r="N15" s="65" t="s">
        <v>207</v>
      </c>
      <c r="O15" s="67">
        <v>45089</v>
      </c>
      <c r="P15" s="68" t="s">
        <v>205</v>
      </c>
      <c r="Q15" s="37" t="s">
        <v>85</v>
      </c>
      <c r="R15" s="67">
        <v>45090</v>
      </c>
      <c r="S15" s="67">
        <v>45091</v>
      </c>
      <c r="T15" s="5">
        <v>45089</v>
      </c>
      <c r="U15" s="4" t="s">
        <v>100</v>
      </c>
      <c r="V15" s="4" t="s">
        <v>100</v>
      </c>
      <c r="W15" s="4"/>
      <c r="X15" s="4" t="s">
        <v>197</v>
      </c>
    </row>
    <row r="16" spans="1:24" ht="66">
      <c r="A16" s="50">
        <f t="shared" si="0"/>
        <v>12</v>
      </c>
      <c r="B16" s="26" t="s">
        <v>179</v>
      </c>
      <c r="C16" s="26" t="s">
        <v>208</v>
      </c>
      <c r="D16" s="26" t="s">
        <v>209</v>
      </c>
      <c r="E16" s="26" t="s">
        <v>210</v>
      </c>
      <c r="F16" s="26" t="s">
        <v>145</v>
      </c>
      <c r="G16" s="39">
        <v>45086</v>
      </c>
      <c r="H16" s="42" t="s">
        <v>211</v>
      </c>
      <c r="I16" s="42" t="s">
        <v>212</v>
      </c>
      <c r="J16" s="40" t="s">
        <v>112</v>
      </c>
      <c r="K16" s="39">
        <v>45091</v>
      </c>
      <c r="L16" s="39">
        <v>45086</v>
      </c>
      <c r="M16" s="69">
        <v>45090</v>
      </c>
      <c r="N16" s="37" t="s">
        <v>213</v>
      </c>
      <c r="O16" s="67">
        <v>45090</v>
      </c>
      <c r="P16" s="37" t="s">
        <v>214</v>
      </c>
      <c r="Q16" s="37" t="s">
        <v>85</v>
      </c>
      <c r="R16" s="67">
        <v>45089</v>
      </c>
      <c r="S16" s="67">
        <v>45090</v>
      </c>
      <c r="T16" s="5">
        <v>45091</v>
      </c>
      <c r="U16" s="4"/>
      <c r="V16" s="4"/>
      <c r="W16" s="4"/>
      <c r="X16" s="4"/>
    </row>
    <row r="17" spans="1:24" ht="26.4">
      <c r="A17" s="50">
        <f t="shared" si="0"/>
        <v>13</v>
      </c>
      <c r="B17" s="26" t="s">
        <v>179</v>
      </c>
      <c r="C17" s="26" t="s">
        <v>208</v>
      </c>
      <c r="D17" s="26" t="s">
        <v>192</v>
      </c>
      <c r="E17" s="26" t="s">
        <v>215</v>
      </c>
      <c r="F17" s="26" t="s">
        <v>145</v>
      </c>
      <c r="G17" s="39">
        <v>45086</v>
      </c>
      <c r="H17" s="42" t="s">
        <v>211</v>
      </c>
      <c r="I17" s="42" t="s">
        <v>212</v>
      </c>
      <c r="J17" s="40" t="s">
        <v>112</v>
      </c>
      <c r="K17" s="39">
        <v>45091</v>
      </c>
      <c r="L17" s="39">
        <v>45086</v>
      </c>
      <c r="M17" s="69">
        <v>45090</v>
      </c>
      <c r="N17" s="37" t="s">
        <v>216</v>
      </c>
      <c r="O17" s="67">
        <v>45090</v>
      </c>
      <c r="P17" s="37" t="s">
        <v>214</v>
      </c>
      <c r="Q17" s="37" t="s">
        <v>85</v>
      </c>
      <c r="R17" s="67">
        <v>45089</v>
      </c>
      <c r="S17" s="67">
        <v>45090</v>
      </c>
      <c r="T17" s="5">
        <v>45091</v>
      </c>
      <c r="U17" s="4"/>
      <c r="V17" s="4"/>
      <c r="W17" s="4"/>
      <c r="X17" s="4"/>
    </row>
    <row r="18" spans="1:24" ht="26.4">
      <c r="A18" s="50">
        <f t="shared" si="0"/>
        <v>14</v>
      </c>
      <c r="B18" s="26" t="s">
        <v>179</v>
      </c>
      <c r="C18" s="26" t="s">
        <v>208</v>
      </c>
      <c r="D18" s="26" t="s">
        <v>156</v>
      </c>
      <c r="E18" s="26" t="s">
        <v>217</v>
      </c>
      <c r="F18" s="26" t="s">
        <v>145</v>
      </c>
      <c r="G18" s="39">
        <v>45086</v>
      </c>
      <c r="H18" s="42" t="s">
        <v>211</v>
      </c>
      <c r="I18" s="42" t="s">
        <v>212</v>
      </c>
      <c r="J18" s="40" t="s">
        <v>112</v>
      </c>
      <c r="K18" s="39">
        <v>45091</v>
      </c>
      <c r="L18" s="39">
        <v>45086</v>
      </c>
      <c r="M18" s="69">
        <v>45090</v>
      </c>
      <c r="N18" s="37" t="s">
        <v>216</v>
      </c>
      <c r="O18" s="67">
        <v>45090</v>
      </c>
      <c r="P18" s="37" t="s">
        <v>214</v>
      </c>
      <c r="Q18" s="37" t="s">
        <v>85</v>
      </c>
      <c r="R18" s="67">
        <v>45089</v>
      </c>
      <c r="S18" s="67">
        <v>45090</v>
      </c>
      <c r="T18" s="5">
        <v>45091</v>
      </c>
      <c r="U18" s="4"/>
      <c r="V18" s="4"/>
      <c r="W18" s="4"/>
      <c r="X18" s="4"/>
    </row>
    <row r="19" spans="1:24" ht="39.6">
      <c r="A19" s="50">
        <f t="shared" si="0"/>
        <v>15</v>
      </c>
      <c r="B19" s="26" t="s">
        <v>160</v>
      </c>
      <c r="C19" s="26" t="s">
        <v>161</v>
      </c>
      <c r="D19" s="26" t="s">
        <v>218</v>
      </c>
      <c r="E19" s="26" t="s">
        <v>219</v>
      </c>
      <c r="F19" s="26" t="s">
        <v>220</v>
      </c>
      <c r="G19" s="39">
        <v>45089</v>
      </c>
      <c r="H19" s="42" t="s">
        <v>221</v>
      </c>
      <c r="I19" s="42" t="s">
        <v>221</v>
      </c>
      <c r="J19" s="40" t="s">
        <v>222</v>
      </c>
      <c r="K19" s="39">
        <v>45089</v>
      </c>
      <c r="L19" s="39">
        <v>45089</v>
      </c>
      <c r="M19" s="39">
        <v>45089</v>
      </c>
      <c r="N19" s="37" t="s">
        <v>223</v>
      </c>
      <c r="O19" s="67">
        <v>45089</v>
      </c>
      <c r="P19" s="37" t="s">
        <v>221</v>
      </c>
      <c r="Q19" s="37" t="s">
        <v>85</v>
      </c>
      <c r="R19" s="39">
        <v>45089</v>
      </c>
      <c r="S19" s="39">
        <v>45089</v>
      </c>
      <c r="T19" s="70">
        <v>45089</v>
      </c>
      <c r="U19" s="4" t="s">
        <v>100</v>
      </c>
      <c r="V19" s="4" t="s">
        <v>100</v>
      </c>
      <c r="W19" s="4"/>
      <c r="X19" s="4" t="s">
        <v>224</v>
      </c>
    </row>
    <row r="20" spans="1:24" ht="26.4">
      <c r="A20" s="50">
        <f t="shared" si="0"/>
        <v>16</v>
      </c>
      <c r="B20" s="26" t="s">
        <v>172</v>
      </c>
      <c r="C20" s="26" t="s">
        <v>225</v>
      </c>
      <c r="D20" s="26" t="s">
        <v>209</v>
      </c>
      <c r="E20" s="26" t="s">
        <v>226</v>
      </c>
      <c r="F20" s="26" t="s">
        <v>145</v>
      </c>
      <c r="G20" s="39">
        <v>41437</v>
      </c>
      <c r="H20" s="42" t="s">
        <v>227</v>
      </c>
      <c r="I20" s="42" t="s">
        <v>228</v>
      </c>
      <c r="J20" s="40" t="s">
        <v>112</v>
      </c>
      <c r="K20" s="39">
        <v>41437</v>
      </c>
      <c r="L20" s="67">
        <v>45086</v>
      </c>
      <c r="M20" s="67">
        <v>45089</v>
      </c>
      <c r="N20" s="37" t="s">
        <v>229</v>
      </c>
      <c r="O20" s="67">
        <v>45089</v>
      </c>
      <c r="P20" s="37" t="s">
        <v>227</v>
      </c>
      <c r="Q20" s="37" t="s">
        <v>85</v>
      </c>
      <c r="R20" s="67">
        <v>41437</v>
      </c>
      <c r="S20" s="67">
        <v>45089</v>
      </c>
      <c r="T20" s="5">
        <v>45089</v>
      </c>
      <c r="U20" s="4" t="s">
        <v>100</v>
      </c>
      <c r="V20" s="4" t="s">
        <v>100</v>
      </c>
      <c r="W20" s="4" t="s">
        <v>86</v>
      </c>
      <c r="X20" s="4" t="s">
        <v>86</v>
      </c>
    </row>
    <row r="21" spans="1:24" ht="26.4">
      <c r="A21" s="50">
        <f t="shared" si="0"/>
        <v>17</v>
      </c>
      <c r="B21" s="26" t="s">
        <v>172</v>
      </c>
      <c r="C21" s="26" t="s">
        <v>230</v>
      </c>
      <c r="D21" s="26" t="s">
        <v>192</v>
      </c>
      <c r="E21" s="26" t="s">
        <v>231</v>
      </c>
      <c r="F21" s="26" t="s">
        <v>145</v>
      </c>
      <c r="G21" s="39">
        <v>45089</v>
      </c>
      <c r="H21" s="42" t="s">
        <v>227</v>
      </c>
      <c r="I21" s="42" t="s">
        <v>228</v>
      </c>
      <c r="J21" s="40" t="s">
        <v>112</v>
      </c>
      <c r="K21" s="39">
        <v>45089</v>
      </c>
      <c r="L21" s="67">
        <v>45086</v>
      </c>
      <c r="M21" s="67">
        <v>45089</v>
      </c>
      <c r="N21" s="37" t="s">
        <v>229</v>
      </c>
      <c r="O21" s="67">
        <v>45089</v>
      </c>
      <c r="P21" s="37" t="s">
        <v>232</v>
      </c>
      <c r="Q21" s="37" t="s">
        <v>85</v>
      </c>
      <c r="R21" s="67">
        <v>45089</v>
      </c>
      <c r="S21" s="67">
        <v>45089</v>
      </c>
      <c r="T21" s="5">
        <v>45089</v>
      </c>
      <c r="U21" s="4" t="s">
        <v>100</v>
      </c>
      <c r="V21" s="4" t="s">
        <v>100</v>
      </c>
      <c r="W21" s="4"/>
      <c r="X21" s="4"/>
    </row>
    <row r="22" spans="1:24" ht="26.4">
      <c r="A22" s="50">
        <f t="shared" si="0"/>
        <v>18</v>
      </c>
      <c r="B22" s="26" t="s">
        <v>172</v>
      </c>
      <c r="C22" s="26" t="s">
        <v>230</v>
      </c>
      <c r="D22" s="26" t="s">
        <v>156</v>
      </c>
      <c r="E22" s="26" t="s">
        <v>233</v>
      </c>
      <c r="F22" s="26" t="s">
        <v>145</v>
      </c>
      <c r="G22" s="39">
        <v>45089</v>
      </c>
      <c r="H22" s="42" t="s">
        <v>227</v>
      </c>
      <c r="I22" s="42" t="s">
        <v>228</v>
      </c>
      <c r="J22" s="40" t="s">
        <v>112</v>
      </c>
      <c r="K22" s="39">
        <v>45089</v>
      </c>
      <c r="L22" s="67">
        <v>45086</v>
      </c>
      <c r="M22" s="67">
        <v>45089</v>
      </c>
      <c r="N22" s="37" t="s">
        <v>229</v>
      </c>
      <c r="O22" s="67">
        <v>45089</v>
      </c>
      <c r="P22" s="37" t="s">
        <v>227</v>
      </c>
      <c r="Q22" s="37" t="s">
        <v>85</v>
      </c>
      <c r="R22" s="67">
        <v>45089</v>
      </c>
      <c r="S22" s="67">
        <v>45089</v>
      </c>
      <c r="T22" s="5">
        <v>45089</v>
      </c>
      <c r="U22" s="4" t="s">
        <v>100</v>
      </c>
      <c r="V22" s="4" t="s">
        <v>100</v>
      </c>
      <c r="W22" s="4"/>
      <c r="X22" s="4"/>
    </row>
    <row r="23" spans="1:24" ht="39.6">
      <c r="A23" s="50">
        <f t="shared" si="0"/>
        <v>19</v>
      </c>
      <c r="B23" s="72" t="s">
        <v>234</v>
      </c>
      <c r="C23" s="72" t="s">
        <v>235</v>
      </c>
      <c r="D23" s="72" t="s">
        <v>192</v>
      </c>
      <c r="E23" s="72" t="s">
        <v>236</v>
      </c>
      <c r="F23" s="72" t="s">
        <v>194</v>
      </c>
      <c r="G23" s="73">
        <v>45086</v>
      </c>
      <c r="H23" s="74" t="s">
        <v>237</v>
      </c>
      <c r="I23" s="74" t="s">
        <v>238</v>
      </c>
      <c r="J23" s="71" t="s">
        <v>112</v>
      </c>
      <c r="K23" s="73">
        <v>45091</v>
      </c>
      <c r="L23" s="67">
        <v>45086</v>
      </c>
      <c r="M23" s="67">
        <v>45090</v>
      </c>
      <c r="N23" s="37" t="s">
        <v>229</v>
      </c>
      <c r="O23" s="67">
        <v>45090</v>
      </c>
      <c r="P23" s="37" t="s">
        <v>239</v>
      </c>
      <c r="Q23" s="37" t="s">
        <v>85</v>
      </c>
      <c r="R23" s="67">
        <v>45090</v>
      </c>
      <c r="S23" s="67">
        <v>45090</v>
      </c>
      <c r="T23" s="67">
        <v>45090</v>
      </c>
      <c r="U23" s="4" t="s">
        <v>100</v>
      </c>
      <c r="V23" s="4" t="s">
        <v>100</v>
      </c>
      <c r="W23" s="4"/>
      <c r="X23" s="4" t="s">
        <v>197</v>
      </c>
    </row>
    <row r="24" spans="1:24">
      <c r="A24" s="90"/>
      <c r="B24" s="91"/>
      <c r="C24" s="91"/>
      <c r="D24" s="91"/>
      <c r="E24" s="92"/>
      <c r="F24" s="93"/>
      <c r="G24" s="94"/>
      <c r="H24" s="95"/>
      <c r="I24" s="95"/>
      <c r="J24" s="90"/>
      <c r="K24" s="94"/>
      <c r="L24" s="96"/>
      <c r="M24" s="96"/>
      <c r="N24" s="37"/>
      <c r="O24" s="97"/>
      <c r="P24" s="37"/>
      <c r="Q24" s="37"/>
      <c r="R24" s="97"/>
      <c r="S24" s="97"/>
      <c r="T24" s="94"/>
      <c r="U24" s="90"/>
      <c r="V24" s="91"/>
      <c r="W24" s="91"/>
      <c r="X24" s="98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1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3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5"/>
      <headerFooter alignWithMargins="0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6"/>
      <headerFooter alignWithMargins="0"/>
      <autoFilter ref="B1:AE1" xr:uid="{C61FFEA3-1DBE-421A-81E8-1E366B508858}">
        <filterColumn colId="12">
          <filters blank="1"/>
        </filterColumn>
      </autoFilter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7"/>
      <headerFooter alignWithMargins="0"/>
      <autoFilter ref="B1:AE1" xr:uid="{DBBDE44F-CE90-4D98-AF5F-510148C4B226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8"/>
      <headerFooter alignWithMargins="0"/>
      <autoFilter ref="B1:AE1" xr:uid="{131A65A3-19C9-49AC-8CC1-BFE611E385EA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08F7C559-EEBD-487A-8B7F-0FA9D4E3AFF3}"/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0"/>
      <headerFooter alignWithMargins="0"/>
      <autoFilter ref="B1:AE1" xr:uid="{4E7E441D-1078-4394-9602-82188DBE603A}"/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1"/>
      <headerFooter alignWithMargins="0"/>
      <autoFilter ref="B1:AE1" xr:uid="{ADC7C9BD-9E96-47BE-AC7E-511901B5AC14}">
        <filterColumn colId="1">
          <filters>
            <filter val="2.4.1_個別審査"/>
          </filters>
        </filterColumn>
      </autoFilter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2"/>
      <headerFooter alignWithMargins="0">
        <oddFooter>&amp;C&amp;P/&amp;N</oddFooter>
      </headerFooter>
      <autoFilter ref="B1:AE1" xr:uid="{59A11E3E-1AF2-4627-8EA5-99313EBA4242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7F9925B6-B147-42CF-96AA-142E07BC973F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4"/>
      <headerFooter alignWithMargins="0"/>
      <autoFilter ref="B1:AE1" xr:uid="{AFE2C962-0854-461E-8B19-A0460CF2375B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5"/>
      <headerFooter alignWithMargins="0"/>
      <autoFilter ref="B1:AE1" xr:uid="{98294501-127C-499C-9066-D1C93FADB123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6"/>
      <headerFooter alignWithMargins="0"/>
      <autoFilter ref="B1:AE1" xr:uid="{29E735E6-FB8F-4AB4-9730-3A8540F3FE1F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02A296C3-8D94-4901-9FC8-9A4DE2CDF15E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8"/>
      <headerFooter alignWithMargins="0"/>
      <autoFilter ref="B1:AE1" xr:uid="{D43154D9-B65C-4AD2-86EA-C735F2500704}"/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9"/>
      <headerFooter alignWithMargins="0"/>
      <autoFilter ref="B1:AE1" xr:uid="{CBCC9832-703D-427D-9C76-80B50B946347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20"/>
      <headerFooter alignWithMargins="0"/>
      <autoFilter ref="B1:AE1" xr:uid="{5DBD2F1A-CA2F-431B-90F5-5B4EB96B4040}">
        <filterColumn colId="12">
          <filters blank="1"/>
        </filterColumn>
      </autoFilter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21"/>
      <headerFooter alignWithMargins="0"/>
      <autoFilter ref="B1:AE1" xr:uid="{AC60603E-7550-4EDE-85C9-B00CEAA68C94}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3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5"/>
      <headerFooter alignWithMargins="0"/>
    </customSheetView>
  </customSheetViews>
  <phoneticPr fontId="28"/>
  <conditionalFormatting sqref="A2:A3 J2:J3 U3:X3 B3:I3 L2:L3 K3:S3 F4 T2:T5 U4:U5 L24:U65536 J24:J65536">
    <cfRule type="expression" dxfId="51" priority="59914" stopIfTrue="1">
      <formula>$U2="済"</formula>
    </cfRule>
  </conditionalFormatting>
  <conditionalFormatting sqref="X1:IV2 Y4:IV9 X24:IV62596 Y11:IV23">
    <cfRule type="expression" dxfId="50" priority="59943" stopIfTrue="1">
      <formula>$T2="済"</formula>
    </cfRule>
  </conditionalFormatting>
  <conditionalFormatting sqref="X62597:IV62733">
    <cfRule type="expression" dxfId="49" priority="59953" stopIfTrue="1">
      <formula>$T65537="済"</formula>
    </cfRule>
  </conditionalFormatting>
  <conditionalFormatting sqref="X62734:IV65536">
    <cfRule type="expression" dxfId="48" priority="59945" stopIfTrue="1">
      <formula>#REF!="済"</formula>
    </cfRule>
  </conditionalFormatting>
  <conditionalFormatting sqref="A62054:I62239 K62054:K62239 E62040:E62225">
    <cfRule type="expression" dxfId="47" priority="59941" stopIfTrue="1">
      <formula>#REF!="済"</formula>
    </cfRule>
  </conditionalFormatting>
  <conditionalFormatting sqref="A62608:I65536 K62608:K65536 E62594:E65536">
    <cfRule type="expression" dxfId="46" priority="59935" stopIfTrue="1">
      <formula>#REF!="済"</formula>
    </cfRule>
  </conditionalFormatting>
  <conditionalFormatting sqref="A62240:I62398 K62240:K62398 E62226:E62384">
    <cfRule type="expression" dxfId="45" priority="59948" stopIfTrue="1">
      <formula>#REF!="済"</formula>
    </cfRule>
  </conditionalFormatting>
  <conditionalFormatting sqref="A62399:I62406 K62399:K62406 E62385:E62392">
    <cfRule type="expression" dxfId="44" priority="59940" stopIfTrue="1">
      <formula>#REF!="済"</formula>
    </cfRule>
  </conditionalFormatting>
  <conditionalFormatting sqref="A62407:I62607 K62407:K62607 E62393:E62593">
    <cfRule type="expression" dxfId="43" priority="59950" stopIfTrue="1">
      <formula>#REF!="済"</formula>
    </cfRule>
  </conditionalFormatting>
  <conditionalFormatting sqref="Y10:IV10">
    <cfRule type="expression" dxfId="42" priority="62890" stopIfTrue="1">
      <formula>#REF!="済"</formula>
    </cfRule>
  </conditionalFormatting>
  <conditionalFormatting sqref="A4:S5">
    <cfRule type="expression" dxfId="41" priority="59951" stopIfTrue="1">
      <formula>($N4&lt;&gt;"")</formula>
    </cfRule>
  </conditionalFormatting>
  <conditionalFormatting sqref="A24:I62053 K24:K62053">
    <cfRule type="expression" dxfId="40" priority="59924" stopIfTrue="1">
      <formula>$U33="済"</formula>
    </cfRule>
  </conditionalFormatting>
  <conditionalFormatting sqref="L4:S5">
    <cfRule type="expression" dxfId="39" priority="62880" stopIfTrue="1">
      <formula>($M4&lt;&gt;"")</formula>
    </cfRule>
  </conditionalFormatting>
  <conditionalFormatting sqref="V4:W5">
    <cfRule type="expression" dxfId="38" priority="60063" stopIfTrue="1">
      <formula>OR(AND($Q4="要",$V4="済"),$Q4="否",$V4="済",AND($N4&lt;&gt;"",OR($Q4="否",$Q4=""),OR($V4="反映不要",$V4="")))</formula>
    </cfRule>
    <cfRule type="expression" dxfId="37" priority="60064" stopIfTrue="1">
      <formula>($Q4="要")</formula>
    </cfRule>
  </conditionalFormatting>
  <conditionalFormatting sqref="X4:X5">
    <cfRule type="expression" dxfId="36" priority="61493" stopIfTrue="1">
      <formula>OR(AND($Q4&lt;&gt;"要",$X4&lt;&gt;""),$Q4="要")</formula>
    </cfRule>
    <cfRule type="expression" dxfId="35" priority="61494" stopIfTrue="1">
      <formula>AND($Q4&lt;&gt;"要",$X4="")</formula>
    </cfRule>
  </conditionalFormatting>
  <conditionalFormatting sqref="Y3:IV3">
    <cfRule type="expression" dxfId="34" priority="10730" stopIfTrue="1">
      <formula>#REF!="済"</formula>
    </cfRule>
  </conditionalFormatting>
  <conditionalFormatting sqref="L11:N11 J11:J12 T7:U9 M12 P11:P12 U10:U12">
    <cfRule type="expression" dxfId="33" priority="26" stopIfTrue="1">
      <formula>$U7="済"</formula>
    </cfRule>
  </conditionalFormatting>
  <conditionalFormatting sqref="X11:X12">
    <cfRule type="expression" dxfId="32" priority="28" stopIfTrue="1">
      <formula>$T12="済"</formula>
    </cfRule>
  </conditionalFormatting>
  <conditionalFormatting sqref="B7:S10 Q11:S12">
    <cfRule type="expression" dxfId="31" priority="29" stopIfTrue="1">
      <formula>($N7&lt;&gt;"")</formula>
    </cfRule>
  </conditionalFormatting>
  <conditionalFormatting sqref="B12:I12 K11:K12 B11:D11 F11 H11:I11">
    <cfRule type="expression" dxfId="30" priority="27" stopIfTrue="1">
      <formula>$U20="済"</formula>
    </cfRule>
  </conditionalFormatting>
  <conditionalFormatting sqref="L7:S10 Q11:S12">
    <cfRule type="expression" dxfId="29" priority="34" stopIfTrue="1">
      <formula>($M7&lt;&gt;"")</formula>
    </cfRule>
  </conditionalFormatting>
  <conditionalFormatting sqref="V7:W10 V11:V12">
    <cfRule type="expression" dxfId="28" priority="30" stopIfTrue="1">
      <formula>OR(AND($Q7="要",$V7="済"),$Q7="否",$V7="済",AND($N7&lt;&gt;"",OR($Q7="否",$Q7=""),OR($V7="反映不要",$V7="")))</formula>
    </cfRule>
    <cfRule type="expression" dxfId="27" priority="31" stopIfTrue="1">
      <formula>($Q7="要")</formula>
    </cfRule>
  </conditionalFormatting>
  <conditionalFormatting sqref="X7:X10">
    <cfRule type="expression" dxfId="26" priority="32" stopIfTrue="1">
      <formula>OR(AND($Q7&lt;&gt;"要",$X7&lt;&gt;""),$Q7="要")</formula>
    </cfRule>
    <cfRule type="expression" dxfId="25" priority="33" stopIfTrue="1">
      <formula>AND($Q7&lt;&gt;"要",$X7="")</formula>
    </cfRule>
  </conditionalFormatting>
  <conditionalFormatting sqref="T10:T12">
    <cfRule type="expression" dxfId="24" priority="24" stopIfTrue="1">
      <formula>($N10&lt;&gt;"")</formula>
    </cfRule>
  </conditionalFormatting>
  <conditionalFormatting sqref="T10:T12">
    <cfRule type="expression" dxfId="23" priority="25" stopIfTrue="1">
      <formula>($M10&lt;&gt;"")</formula>
    </cfRule>
  </conditionalFormatting>
  <conditionalFormatting sqref="T13 U13:U14 T16:U23">
    <cfRule type="expression" dxfId="22" priority="17" stopIfTrue="1">
      <formula>$U13="済"</formula>
    </cfRule>
  </conditionalFormatting>
  <conditionalFormatting sqref="B13:S14 G15 B16:F18 N16:S18 H16:K18 B19:S23">
    <cfRule type="expression" dxfId="21" priority="18" stopIfTrue="1">
      <formula>($N13&lt;&gt;"")</formula>
    </cfRule>
  </conditionalFormatting>
  <conditionalFormatting sqref="L13:S14 N16:S18 L19:S23">
    <cfRule type="expression" dxfId="20" priority="23" stopIfTrue="1">
      <formula>($M13&lt;&gt;"")</formula>
    </cfRule>
  </conditionalFormatting>
  <conditionalFormatting sqref="V13:W14 V16:W23">
    <cfRule type="expression" dxfId="19" priority="19" stopIfTrue="1">
      <formula>OR(AND($Q13="要",$V13="済"),$Q13="否",$V13="済",AND($N13&lt;&gt;"",OR($Q13="否",$Q13=""),OR($V13="反映不要",$V13="")))</formula>
    </cfRule>
    <cfRule type="expression" dxfId="18" priority="20" stopIfTrue="1">
      <formula>($Q13="要")</formula>
    </cfRule>
  </conditionalFormatting>
  <conditionalFormatting sqref="X13:X14 X16:X23">
    <cfRule type="expression" dxfId="17" priority="21" stopIfTrue="1">
      <formula>OR(AND($Q13&lt;&gt;"要",$X13&lt;&gt;""),$Q13="要")</formula>
    </cfRule>
    <cfRule type="expression" dxfId="16" priority="22" stopIfTrue="1">
      <formula>AND($Q13&lt;&gt;"要",$X13="")</formula>
    </cfRule>
  </conditionalFormatting>
  <conditionalFormatting sqref="T14">
    <cfRule type="expression" dxfId="15" priority="15" stopIfTrue="1">
      <formula>($N14&lt;&gt;"")</formula>
    </cfRule>
  </conditionalFormatting>
  <conditionalFormatting sqref="T14">
    <cfRule type="expression" dxfId="14" priority="16" stopIfTrue="1">
      <formula>($M14&lt;&gt;"")</formula>
    </cfRule>
  </conditionalFormatting>
  <conditionalFormatting sqref="T15:U15">
    <cfRule type="expression" dxfId="13" priority="8" stopIfTrue="1">
      <formula>$U15="済"</formula>
    </cfRule>
  </conditionalFormatting>
  <conditionalFormatting sqref="B15:F15 H15:J15 N15 P15:S15">
    <cfRule type="expression" dxfId="12" priority="9" stopIfTrue="1">
      <formula>($N15&lt;&gt;"")</formula>
    </cfRule>
  </conditionalFormatting>
  <conditionalFormatting sqref="N15 P15:S15">
    <cfRule type="expression" dxfId="11" priority="14" stopIfTrue="1">
      <formula>($M15&lt;&gt;"")</formula>
    </cfRule>
  </conditionalFormatting>
  <conditionalFormatting sqref="V15:W15">
    <cfRule type="expression" dxfId="10" priority="10" stopIfTrue="1">
      <formula>OR(AND($Q15="要",$V15="済"),$Q15="否",$V15="済",AND($N15&lt;&gt;"",OR($Q15="否",$Q15=""),OR($V15="反映不要",$V15="")))</formula>
    </cfRule>
    <cfRule type="expression" dxfId="9" priority="11" stopIfTrue="1">
      <formula>($Q15="要")</formula>
    </cfRule>
  </conditionalFormatting>
  <conditionalFormatting sqref="X15">
    <cfRule type="expression" dxfId="8" priority="12" stopIfTrue="1">
      <formula>OR(AND($Q15&lt;&gt;"要",$X15&lt;&gt;""),$Q15="要")</formula>
    </cfRule>
    <cfRule type="expression" dxfId="7" priority="13" stopIfTrue="1">
      <formula>AND($Q15&lt;&gt;"要",$X15="")</formula>
    </cfRule>
  </conditionalFormatting>
  <conditionalFormatting sqref="K15">
    <cfRule type="expression" dxfId="6" priority="7" stopIfTrue="1">
      <formula>($N15&lt;&gt;"")</formula>
    </cfRule>
  </conditionalFormatting>
  <conditionalFormatting sqref="L15:M18">
    <cfRule type="expression" dxfId="5" priority="5" stopIfTrue="1">
      <formula>($N15&lt;&gt;"")</formula>
    </cfRule>
  </conditionalFormatting>
  <conditionalFormatting sqref="L15:M18">
    <cfRule type="expression" dxfId="4" priority="6" stopIfTrue="1">
      <formula>($M15&lt;&gt;"")</formula>
    </cfRule>
  </conditionalFormatting>
  <conditionalFormatting sqref="O15">
    <cfRule type="expression" dxfId="3" priority="3" stopIfTrue="1">
      <formula>($N15&lt;&gt;"")</formula>
    </cfRule>
  </conditionalFormatting>
  <conditionalFormatting sqref="O15">
    <cfRule type="expression" dxfId="2" priority="4" stopIfTrue="1">
      <formula>($M15&lt;&gt;"")</formula>
    </cfRule>
  </conditionalFormatting>
  <conditionalFormatting sqref="G16:G18">
    <cfRule type="expression" dxfId="1" priority="1" stopIfTrue="1">
      <formula>($N16&lt;&gt;"")</formula>
    </cfRule>
  </conditionalFormatting>
  <conditionalFormatting sqref="G16:G18">
    <cfRule type="expression" dxfId="0" priority="2" stopIfTrue="1">
      <formula>($M16&lt;&gt;"")</formula>
    </cfRule>
  </conditionalFormatting>
  <dataValidations count="6">
    <dataValidation allowBlank="1" sqref="B4:B5 B7:B10 B13:B23" xr:uid="{00000000-0002-0000-0200-000000000000}"/>
    <dataValidation type="list" allowBlank="1" showInputMessage="1" showErrorMessage="1" sqref="V4:V5 V7:V23" xr:uid="{00000000-0002-0000-0200-000001000000}">
      <formula1>"反映不要,未反映,済"</formula1>
    </dataValidation>
    <dataValidation type="list" allowBlank="1" showInputMessage="1" showErrorMessage="1" sqref="Q4:Q5 Q7:Q23" xr:uid="{00000000-0002-0000-0200-000002000000}">
      <formula1>"要,否"</formula1>
    </dataValidation>
    <dataValidation type="list" allowBlank="1" showInputMessage="1" showErrorMessage="1" sqref="X4:X5 X7:X10 X13:X23" xr:uid="{00000000-0002-0000-0200-000003000000}">
      <formula1>"仕様変更,資料不備,仕様不明確,理解不足,確認事項"</formula1>
    </dataValidation>
    <dataValidation type="list" showInputMessage="1" showErrorMessage="1" sqref="U3:U5 U7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海野博子</cp:lastModifiedBy>
  <cp:lastPrinted>2013-06-20T09:21:52Z</cp:lastPrinted>
  <dcterms:created xsi:type="dcterms:W3CDTF">2009-03-13T12:52:04Z</dcterms:created>
  <dcterms:modified xsi:type="dcterms:W3CDTF">2023-06-19T08:41:25Z</dcterms:modified>
</cp:coreProperties>
</file>