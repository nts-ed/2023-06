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02_GIT\202306_02\99_参考資料\"/>
    </mc:Choice>
  </mc:AlternateContent>
  <xr:revisionPtr revIDLastSave="0" documentId="13_ncr:1_{F397AADE-9396-4077-9B75-BF92041E8399}" xr6:coauthVersionLast="47" xr6:coauthVersionMax="47" xr10:uidLastSave="{00000000-0000-0000-0000-000000000000}"/>
  <bookViews>
    <workbookView xWindow="-2798" yWindow="-16297" windowWidth="28996" windowHeight="15675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  <sheet name="NO.1" sheetId="15" r:id="rId4"/>
  </sheets>
  <externalReferences>
    <externalReference r:id="rId5"/>
    <externalReference r:id="rId6"/>
    <externalReference r:id="rId7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QA管理一覧表!$A$1:$W$10</definedName>
    <definedName name="_xlnm.Print_Area">'[1]2.業務ｼｽﾃﾑ別ｲﾝﾀｰﾌｪｰｽ'!#REF!</definedName>
    <definedName name="_xlnm.Print_Titles" localSheetId="2">QA管理一覧表!$1:$3</definedName>
    <definedName name="_xlnm.Print_Titles">[2]運用設計書原紙!$A$1:$IV$3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[3]情報シート!$B$14:$B$16</definedName>
  </definedNames>
  <calcPr calcId="191029" fullPrecision="0"/>
  <customWorkbookViews>
    <customWorkbookView name="chenkeyu - 個人用ビュー" guid="{4D81BB8C-E3F3-4CF9-B2A3-3E4B928F043B}" mergeInterval="0" personalView="1" maximized="1" windowWidth="1436" windowHeight="66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TGSD - 個人用ビュー" guid="{5BFFE39F-FE4E-43B4-8E90-62B8F09ECD7E}" mergeInterval="0" personalView="1" maximized="1" windowWidth="1436" windowHeight="728" activeSheetId="3"/>
    <customWorkbookView name="LiuFan - 個人用ビュー" guid="{179682AD-88A5-48E7-90FE-C00C8657731B}" mergeInterval="0" personalView="1" maximized="1" windowWidth="1328" windowHeight="586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0927880　鈴木尚人 - 個人用ビュー" guid="{9CAE8AC6-524E-4CBD-AC05-CAD71D74A8CB}" mergeInterval="0" personalView="1" maximized="1" windowWidth="1180" windowHeight="665" activeSheetId="3"/>
    <customWorkbookView name="paoyan - 個人用ビュー" guid="{E3557D52-BD4C-452C-B1CF-531320DE7FC1}" mergeInterval="0" personalView="1" maximized="1" windowWidth="1020" windowHeight="592" tabRatio="335" activeSheetId="3"/>
    <customWorkbookView name="esmishiguro - 個人用ビュー" guid="{73767BBA-AF8D-4953-9700-AAAB2744F29D}" mergeInterval="0" personalView="1" maximized="1" windowWidth="1300" windowHeight="590" activeSheetId="3"/>
    <customWorkbookView name="paotyan - 個人用ビュー" guid="{BF310017-A1AD-46C6-8303-9D256BBCB14F}" mergeInterval="0" personalView="1" maximized="1" windowWidth="1020" windowHeight="570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Ymashita - 個人用ビュー" guid="{C576EE63-57B7-404C-AA54-BCCE6EAECEAC}" mergeInterval="0" personalView="1" maximized="1" windowWidth="1436" windowHeight="638" tabRatio="4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4" l="1"/>
  <c r="D16" i="14" s="1"/>
  <c r="D12" i="14"/>
  <c r="D13" i="14"/>
  <c r="D14" i="14"/>
  <c r="D15" i="14"/>
</calcChain>
</file>

<file path=xl/sharedStrings.xml><?xml version="1.0" encoding="utf-8"?>
<sst xmlns="http://schemas.openxmlformats.org/spreadsheetml/2006/main" count="165" uniqueCount="153">
  <si>
    <t>仕様不明確</t>
    <rPh sb="0" eb="2">
      <t>シヨウ</t>
    </rPh>
    <rPh sb="2" eb="5">
      <t>フメイカク</t>
    </rPh>
    <phoneticPr fontId="2"/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</si>
  <si>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</si>
  <si>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</si>
  <si>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</si>
  <si>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</si>
  <si>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</si>
  <si>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</si>
  <si>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</si>
  <si>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  <phoneticPr fontId="2"/>
  </si>
  <si>
    <t>ドキュメント</t>
    <phoneticPr fontId="2"/>
  </si>
  <si>
    <t>シート</t>
    <phoneticPr fontId="2"/>
  </si>
  <si>
    <t>№</t>
    <phoneticPr fontId="2"/>
  </si>
  <si>
    <t>李国全</t>
    <phoneticPr fontId="2"/>
  </si>
  <si>
    <t>田新科</t>
    <phoneticPr fontId="2"/>
  </si>
  <si>
    <t>田新科</t>
    <phoneticPr fontId="2"/>
  </si>
  <si>
    <t>m_KFT05_0101</t>
    <phoneticPr fontId="2"/>
  </si>
  <si>
    <t>設計書
修正完了
予定日</t>
    <rPh sb="0" eb="2">
      <t>セッケイ</t>
    </rPh>
    <rPh sb="2" eb="3">
      <t>ショ</t>
    </rPh>
    <rPh sb="4" eb="6">
      <t>シュウセイ</t>
    </rPh>
    <rPh sb="6" eb="8">
      <t>カンリョウ</t>
    </rPh>
    <rPh sb="9" eb="11">
      <t>ヨテイ</t>
    </rPh>
    <rPh sb="11" eb="12">
      <t>ヒ</t>
    </rPh>
    <phoneticPr fontId="2"/>
  </si>
  <si>
    <t>回答
確認日</t>
    <rPh sb="0" eb="2">
      <t>カイトウ</t>
    </rPh>
    <rPh sb="3" eb="5">
      <t>カクニン</t>
    </rPh>
    <rPh sb="5" eb="6">
      <t>ビ</t>
    </rPh>
    <phoneticPr fontId="2"/>
  </si>
  <si>
    <t>確認</t>
    <rPh sb="0" eb="2">
      <t>カクニン</t>
    </rPh>
    <phoneticPr fontId="2"/>
  </si>
  <si>
    <t>陳科宇</t>
    <phoneticPr fontId="2"/>
  </si>
  <si>
    <t>徐称</t>
    <phoneticPr fontId="2"/>
  </si>
  <si>
    <t>区分</t>
    <rPh sb="0" eb="2">
      <t>クブン</t>
    </rPh>
    <phoneticPr fontId="2"/>
  </si>
  <si>
    <t>回答</t>
    <rPh sb="0" eb="2">
      <t>カイトウ</t>
    </rPh>
    <phoneticPr fontId="2"/>
  </si>
  <si>
    <t>詳細一覧</t>
    <rPh sb="0" eb="2">
      <t>ショウサイ</t>
    </rPh>
    <rPh sb="2" eb="4">
      <t>イチラン</t>
    </rPh>
    <phoneticPr fontId="2"/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</si>
  <si>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</si>
  <si>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  <phoneticPr fontId="2"/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</si>
  <si>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</si>
  <si>
    <t>m_KFT8o_0101</t>
  </si>
  <si>
    <t>m_KFT13_0101</t>
  </si>
  <si>
    <t>支払通知書作成</t>
  </si>
  <si>
    <t>質問
受領日</t>
    <rPh sb="0" eb="2">
      <t>シツモン</t>
    </rPh>
    <rPh sb="3" eb="5">
      <t>ジュリョウ</t>
    </rPh>
    <rPh sb="5" eb="6">
      <t>ビ</t>
    </rPh>
    <phoneticPr fontId="2"/>
  </si>
  <si>
    <t>設計書
修正日</t>
    <rPh sb="0" eb="2">
      <t>セッケイ</t>
    </rPh>
    <rPh sb="2" eb="3">
      <t>ショ</t>
    </rPh>
    <rPh sb="4" eb="6">
      <t>シュウセイ</t>
    </rPh>
    <rPh sb="6" eb="7">
      <t>ヒ</t>
    </rPh>
    <phoneticPr fontId="2"/>
  </si>
  <si>
    <t>質問原因</t>
    <rPh sb="0" eb="2">
      <t>シツモン</t>
    </rPh>
    <rPh sb="2" eb="4">
      <t>ゲンイン</t>
    </rPh>
    <phoneticPr fontId="2"/>
  </si>
  <si>
    <t>m_KFT8K_0101</t>
  </si>
  <si>
    <t>m_KFT73_0101</t>
  </si>
  <si>
    <t>m_KFT73_0201</t>
  </si>
  <si>
    <t>m_KFT79_0101</t>
  </si>
  <si>
    <t>m_KFT79_0201</t>
  </si>
  <si>
    <t>仕様修正要</t>
    <rPh sb="0" eb="2">
      <t>シヨウ</t>
    </rPh>
    <rPh sb="2" eb="4">
      <t>シュウセイ</t>
    </rPh>
    <rPh sb="4" eb="5">
      <t>ヨウ</t>
    </rPh>
    <phoneticPr fontId="2"/>
  </si>
  <si>
    <t>仕様変更</t>
    <rPh sb="0" eb="2">
      <t>シヨウ</t>
    </rPh>
    <rPh sb="2" eb="4">
      <t>ヘンコウ</t>
    </rPh>
    <phoneticPr fontId="2"/>
  </si>
  <si>
    <t>個数</t>
    <rPh sb="0" eb="2">
      <t>コスウ</t>
    </rPh>
    <phoneticPr fontId="2"/>
  </si>
  <si>
    <t>10、11、12、13</t>
    <phoneticPr fontId="2"/>
  </si>
  <si>
    <t>回答・確認</t>
    <rPh sb="0" eb="2">
      <t>カイトウ</t>
    </rPh>
    <rPh sb="3" eb="5">
      <t>カクニン</t>
    </rPh>
    <phoneticPr fontId="2"/>
  </si>
  <si>
    <t>m_KFT8L_0101</t>
  </si>
  <si>
    <t>m_KFT05_0104</t>
  </si>
  <si>
    <t>李明賽</t>
    <phoneticPr fontId="2"/>
  </si>
  <si>
    <t>韓錦那</t>
    <phoneticPr fontId="2"/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</si>
  <si>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</si>
  <si>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</si>
  <si>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</si>
  <si>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</si>
  <si>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</si>
  <si>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  <rPh sb="0" eb="2">
      <t>カクニン</t>
    </rPh>
    <rPh sb="2" eb="3">
      <t>シャ</t>
    </rPh>
    <phoneticPr fontId="2"/>
  </si>
  <si>
    <t>回答
期限</t>
    <rPh sb="0" eb="2">
      <t>カイトウ</t>
    </rPh>
    <rPh sb="3" eb="5">
      <t>キゲン</t>
    </rPh>
    <phoneticPr fontId="2"/>
  </si>
  <si>
    <t>緊急
度</t>
    <rPh sb="0" eb="2">
      <t>キンキュウ</t>
    </rPh>
    <rPh sb="3" eb="4">
      <t>タビ</t>
    </rPh>
    <phoneticPr fontId="2"/>
  </si>
  <si>
    <t>ＣＤ精算立替情報作成</t>
  </si>
  <si>
    <t>ＣＤ利用精算情報作成</t>
  </si>
  <si>
    <t>ＱＡ起票者記入欄</t>
    <rPh sb="2" eb="4">
      <t>キヒョウ</t>
    </rPh>
    <rPh sb="4" eb="5">
      <t>シャ</t>
    </rPh>
    <rPh sb="5" eb="7">
      <t>キニュウ</t>
    </rPh>
    <rPh sb="7" eb="8">
      <t>ラン</t>
    </rPh>
    <phoneticPr fontId="2"/>
  </si>
  <si>
    <t>アクワイアラ売上情報作成</t>
  </si>
  <si>
    <t>機能名称</t>
    <rPh sb="2" eb="4">
      <t>メイショウ</t>
    </rPh>
    <phoneticPr fontId="2"/>
  </si>
  <si>
    <t>担当者</t>
    <rPh sb="0" eb="3">
      <t>タントウシャ</t>
    </rPh>
    <phoneticPr fontId="2"/>
  </si>
  <si>
    <t>回答者記入欄</t>
    <rPh sb="0" eb="2">
      <t>カイトウ</t>
    </rPh>
    <rPh sb="2" eb="3">
      <t>シャ</t>
    </rPh>
    <rPh sb="3" eb="5">
      <t>キニュウ</t>
    </rPh>
    <rPh sb="5" eb="6">
      <t>ラン</t>
    </rPh>
    <phoneticPr fontId="2"/>
  </si>
  <si>
    <t>保証返済自動仕訳ファイル作成</t>
  </si>
  <si>
    <t>22、23、24、39</t>
    <phoneticPr fontId="2"/>
  </si>
  <si>
    <t>28、29</t>
    <phoneticPr fontId="2"/>
  </si>
  <si>
    <t>16、37</t>
    <phoneticPr fontId="2"/>
  </si>
  <si>
    <t>ｉＤブランド精算情報リスト作成</t>
  </si>
  <si>
    <t>ｉＤブランド精算表作成</t>
  </si>
  <si>
    <t>ＣＤ日次精算データ作成</t>
  </si>
  <si>
    <t>m_KFT18_0101</t>
  </si>
  <si>
    <t>李揚</t>
    <phoneticPr fontId="2"/>
  </si>
  <si>
    <t>銀行保証ローン種別チェックリスト作成</t>
  </si>
  <si>
    <t>団信保険料トラン作成</t>
  </si>
  <si>
    <t>融資金受入自動仕訳作成</t>
  </si>
  <si>
    <t>設計書
修正要否</t>
    <rPh sb="0" eb="2">
      <t>セッケイ</t>
    </rPh>
    <rPh sb="2" eb="3">
      <t>ショ</t>
    </rPh>
    <rPh sb="4" eb="6">
      <t>シュウセイ</t>
    </rPh>
    <rPh sb="6" eb="7">
      <t>ヨウ</t>
    </rPh>
    <rPh sb="7" eb="8">
      <t>ヒ</t>
    </rPh>
    <phoneticPr fontId="2"/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</si>
  <si>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</si>
  <si>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</si>
  <si>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</si>
  <si>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</si>
  <si>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  <phoneticPr fontId="2"/>
  </si>
  <si>
    <t>46、52</t>
    <phoneticPr fontId="2"/>
  </si>
  <si>
    <t>53、54、55、56、57</t>
    <phoneticPr fontId="2"/>
  </si>
  <si>
    <t>50、51</t>
    <phoneticPr fontId="2"/>
  </si>
  <si>
    <t>陳科宇</t>
  </si>
  <si>
    <t>作間</t>
  </si>
  <si>
    <t>要</t>
  </si>
  <si>
    <t/>
  </si>
  <si>
    <t>m_KFT05_0106</t>
  </si>
  <si>
    <t>仕様反映状態</t>
    <phoneticPr fontId="2"/>
  </si>
  <si>
    <t>m_KFT04_0101</t>
  </si>
  <si>
    <t>呂炳輝</t>
  </si>
  <si>
    <t>李国全</t>
  </si>
  <si>
    <t>理解不足</t>
    <rPh sb="0" eb="2">
      <t>リカイ</t>
    </rPh>
    <rPh sb="2" eb="4">
      <t>フソク</t>
    </rPh>
    <phoneticPr fontId="2"/>
  </si>
  <si>
    <t>m_KFT19_0101</t>
  </si>
  <si>
    <t>m_KFT30_0101</t>
  </si>
  <si>
    <t>m_KFT31_0101</t>
  </si>
  <si>
    <t>ＭＪ売上精算情報作成</t>
  </si>
  <si>
    <t>回答日</t>
    <rPh sb="0" eb="2">
      <t>カイトウ</t>
    </rPh>
    <rPh sb="2" eb="3">
      <t>ビ</t>
    </rPh>
    <phoneticPr fontId="2"/>
  </si>
  <si>
    <t>KFT180101_マッピング仕様書（ＣＤ日次精算データ作成）.xls</t>
  </si>
  <si>
    <t>25、26、27、30、45</t>
    <phoneticPr fontId="2"/>
  </si>
  <si>
    <t>済</t>
  </si>
  <si>
    <t>処理定義書（マッピング）</t>
  </si>
  <si>
    <t>14、40、41</t>
    <phoneticPr fontId="2"/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</si>
  <si>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</si>
  <si>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</si>
  <si>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</si>
  <si>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</si>
  <si>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</si>
  <si>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</si>
  <si>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</si>
  <si>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  <phoneticPr fontId="2"/>
  </si>
  <si>
    <t>添付
有無</t>
    <rPh sb="0" eb="2">
      <t>テンプ</t>
    </rPh>
    <rPh sb="3" eb="5">
      <t>ウム</t>
    </rPh>
    <phoneticPr fontId="2"/>
  </si>
  <si>
    <t>中</t>
  </si>
  <si>
    <t>合計</t>
    <rPh sb="0" eb="2">
      <t>ゴウケイ</t>
    </rPh>
    <phoneticPr fontId="2"/>
  </si>
  <si>
    <t>資料不備</t>
    <rPh sb="0" eb="2">
      <t>シリョウ</t>
    </rPh>
    <rPh sb="2" eb="4">
      <t>フビ</t>
    </rPh>
    <phoneticPr fontId="2"/>
  </si>
  <si>
    <t>m_KFT05_0102</t>
  </si>
  <si>
    <t>m_KFT05_0103</t>
  </si>
  <si>
    <t>提出</t>
    <rPh sb="0" eb="2">
      <t>テイシュツ</t>
    </rPh>
    <phoneticPr fontId="2"/>
  </si>
  <si>
    <t>m_KFT05_0201</t>
  </si>
  <si>
    <t>機能</t>
    <rPh sb="0" eb="2">
      <t>キノウ</t>
    </rPh>
    <phoneticPr fontId="2"/>
  </si>
  <si>
    <t>備考</t>
    <rPh sb="0" eb="2">
      <t>ビコウ</t>
    </rPh>
    <phoneticPr fontId="2"/>
  </si>
  <si>
    <t>記入者</t>
    <rPh sb="0" eb="2">
      <t>キニュウ</t>
    </rPh>
    <rPh sb="2" eb="3">
      <t>シャ</t>
    </rPh>
    <phoneticPr fontId="2"/>
  </si>
  <si>
    <t>20、21</t>
    <phoneticPr fontId="2"/>
  </si>
  <si>
    <t>回答
予定日</t>
    <rPh sb="0" eb="2">
      <t>カイトウ</t>
    </rPh>
    <rPh sb="3" eb="5">
      <t>ヨテイ</t>
    </rPh>
    <rPh sb="5" eb="6">
      <t>ビ</t>
    </rPh>
    <phoneticPr fontId="2"/>
  </si>
  <si>
    <t>m_KFT83_0101</t>
  </si>
  <si>
    <t>m_KFT88_0101</t>
  </si>
  <si>
    <t>ＣＡＦＩＳ・ＣＤ精算資料（銀行ＣＤ）作成</t>
  </si>
  <si>
    <t>QA・指摘事項</t>
    <rPh sb="3" eb="5">
      <t>シテキ</t>
    </rPh>
    <rPh sb="5" eb="7">
      <t>ジコウ</t>
    </rPh>
    <phoneticPr fontId="2"/>
  </si>
  <si>
    <t>黄龍</t>
    <phoneticPr fontId="2"/>
  </si>
  <si>
    <t>呂炳輝</t>
    <phoneticPr fontId="2"/>
  </si>
  <si>
    <t>回答者</t>
    <rPh sb="0" eb="2">
      <t>カイトウ</t>
    </rPh>
    <rPh sb="2" eb="3">
      <t>シャ</t>
    </rPh>
    <phoneticPr fontId="2"/>
  </si>
  <si>
    <t>状態</t>
    <rPh sb="0" eb="2">
      <t>ジョウタイ</t>
    </rPh>
    <phoneticPr fontId="2"/>
  </si>
  <si>
    <t>記入日</t>
    <rPh sb="0" eb="2">
      <t>キニュウ</t>
    </rPh>
    <rPh sb="2" eb="3">
      <t>ビ</t>
    </rPh>
    <phoneticPr fontId="2"/>
  </si>
  <si>
    <t>1、2、3、4、5、6、31、32、33、34</t>
    <phoneticPr fontId="2"/>
  </si>
  <si>
    <t>勤怠承認詳細画面</t>
    <phoneticPr fontId="28"/>
  </si>
  <si>
    <t>詳細設計書_勤怠承認詳細_kanai.xlsx</t>
    <phoneticPr fontId="28"/>
  </si>
  <si>
    <t>画面項目</t>
    <phoneticPr fontId="28"/>
  </si>
  <si>
    <t>なし</t>
    <phoneticPr fontId="28"/>
  </si>
  <si>
    <t>あり</t>
    <phoneticPr fontId="28"/>
  </si>
  <si>
    <t>Aさん</t>
    <phoneticPr fontId="28"/>
  </si>
  <si>
    <t>安　雪鑫</t>
    <phoneticPr fontId="28"/>
  </si>
  <si>
    <t>高</t>
    <rPh sb="0" eb="1">
      <t>コウ</t>
    </rPh>
    <phoneticPr fontId="28"/>
  </si>
  <si>
    <t>当日～明日</t>
    <rPh sb="0" eb="2">
      <t>トウジツ</t>
    </rPh>
    <rPh sb="3" eb="5">
      <t>アシタ</t>
    </rPh>
    <phoneticPr fontId="28"/>
  </si>
  <si>
    <t>３日内</t>
    <rPh sb="1" eb="2">
      <t>ニチ</t>
    </rPh>
    <rPh sb="2" eb="3">
      <t>ナイ</t>
    </rPh>
    <phoneticPr fontId="28"/>
  </si>
  <si>
    <t>中</t>
    <rPh sb="0" eb="1">
      <t>チュウ</t>
    </rPh>
    <phoneticPr fontId="28"/>
  </si>
  <si>
    <t>低</t>
    <rPh sb="0" eb="1">
      <t>テイ</t>
    </rPh>
    <phoneticPr fontId="28"/>
  </si>
  <si>
    <t>５日内</t>
    <rPh sb="1" eb="2">
      <t>ニチ</t>
    </rPh>
    <rPh sb="2" eb="3">
      <t>ナイ</t>
    </rPh>
    <phoneticPr fontId="28"/>
  </si>
  <si>
    <t>中</t>
    <phoneticPr fontId="28"/>
  </si>
  <si>
    <t>TOPCLOUD</t>
    <phoneticPr fontId="28"/>
  </si>
  <si>
    <t>日立さん</t>
    <rPh sb="0" eb="2">
      <t>ヒタチ</t>
    </rPh>
    <phoneticPr fontId="28"/>
  </si>
  <si>
    <t>田中</t>
    <rPh sb="0" eb="2">
      <t>タナカ</t>
    </rPh>
    <phoneticPr fontId="28"/>
  </si>
  <si>
    <t>NO.6「実働時間」について、DB「勤怠実績」に存在していませんので、ご確認お願いします。
2023/6/20　追記
DB「」</t>
    <rPh sb="18" eb="20">
      <t>キンタイ</t>
    </rPh>
    <rPh sb="20" eb="22">
      <t>ジッセキ</t>
    </rPh>
    <rPh sb="24" eb="26">
      <t>ソンザイ</t>
    </rPh>
    <rPh sb="36" eb="38">
      <t>カクニン</t>
    </rPh>
    <rPh sb="39" eb="40">
      <t>ネガ</t>
    </rPh>
    <rPh sb="56" eb="58">
      <t>ツイキ</t>
    </rPh>
    <phoneticPr fontId="28"/>
  </si>
  <si>
    <t>ご指摘の通り、DB「勤怠実績」に「実働時間」を追加します。+N5:P6</t>
    <rPh sb="18" eb="20">
      <t>キンタイ</t>
    </rPh>
    <rPh sb="20" eb="22">
      <t>ジッセキ</t>
    </rPh>
    <rPh sb="24" eb="26">
      <t>ソンザイ</t>
    </rPh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</si>
</sst>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2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61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</cellStyleXfs>
  <cellXfs count="52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  <xf numFmtId="179" fontId="0" fillId="0" borderId="0" xfId="6" applyNumberFormat="1" applyFont="1" applyAlignment="1">
      <alignment horizontal="left"/>
    </xf>
    <xf numFmtId="180" fontId="0" fillId="0" borderId="0" xfId="6" applyNumberFormat="1" applyFont="1" applyAlignment="1">
      <alignment horizontal="center"/>
    </xf>
  </cellXfs>
  <cellStyles count="61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19"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2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2409825</xdr:colOff>
          <xdr:row>3</xdr:row>
          <xdr:rowOff>9525</xdr:rowOff>
        </xdr:from>
        <xdr:to>
          <xdr:col>3</xdr:col>
          <xdr:colOff>3152775</xdr:colOff>
          <xdr:row>4</xdr:row>
          <xdr:rowOff>142875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109538</xdr:rowOff>
    </xdr:from>
    <xdr:to>
      <xdr:col>11</xdr:col>
      <xdr:colOff>457200</xdr:colOff>
      <xdr:row>22</xdr:row>
      <xdr:rowOff>100013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46B1CE05-017D-1414-1DAE-D86C7C766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&#26032;AXIS&#22522;&#26412;&#35373;&#35336;\&#12487;&#12540;&#12479;&#12501;&#12525;&#12540;\&#12487;&#12540;&#12479;&#23450;&#326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2.75"/>
  <cols>
    <col min="3" max="3" width="11" bestFit="1" customWidth="1"/>
    <col min="4" max="4" width="45.46484375" bestFit="1" customWidth="1"/>
    <col min="5" max="5" width="10.86328125" customWidth="1"/>
    <col min="6" max="6" width="4.73046875" bestFit="1" customWidth="1"/>
    <col min="7" max="7" width="28.59765625" bestFit="1" customWidth="1"/>
  </cols>
  <sheetData>
    <row r="4" spans="3:7">
      <c r="E4" s="33" t="s">
        <v>117</v>
      </c>
      <c r="F4" s="33">
        <v>57</v>
      </c>
    </row>
    <row r="5" spans="3:7">
      <c r="E5" s="33" t="s">
        <v>22</v>
      </c>
      <c r="F5" s="33">
        <v>7</v>
      </c>
    </row>
    <row r="6" spans="3:7">
      <c r="E6" s="33" t="s">
        <v>18</v>
      </c>
      <c r="F6" s="33">
        <v>7</v>
      </c>
    </row>
    <row r="11" spans="3:7">
      <c r="C11" s="32" t="s">
        <v>79</v>
      </c>
      <c r="D11" s="32" t="s">
        <v>59</v>
      </c>
      <c r="E11" s="32" t="s">
        <v>60</v>
      </c>
      <c r="F11" s="32" t="s">
        <v>40</v>
      </c>
      <c r="G11" s="32" t="s">
        <v>23</v>
      </c>
    </row>
    <row r="12" spans="3:7">
      <c r="C12" s="35" t="s">
        <v>89</v>
      </c>
      <c r="D12" s="28" t="s">
        <v>29</v>
      </c>
      <c r="E12" s="29" t="s">
        <v>20</v>
      </c>
      <c r="F12" s="34">
        <v>4</v>
      </c>
      <c r="G12" s="36" t="s">
        <v>41</v>
      </c>
    </row>
    <row r="13" spans="3:7">
      <c r="C13" s="29" t="s">
        <v>15</v>
      </c>
      <c r="D13" s="29" t="s">
        <v>47</v>
      </c>
      <c r="E13" s="29"/>
      <c r="F13" s="34">
        <v>0</v>
      </c>
      <c r="G13" s="36"/>
    </row>
    <row r="14" spans="3:7" ht="13.15">
      <c r="C14" s="29" t="s">
        <v>115</v>
      </c>
      <c r="D14" s="29" t="s">
        <v>48</v>
      </c>
      <c r="E14" s="31"/>
      <c r="F14" s="34">
        <v>0</v>
      </c>
      <c r="G14" s="36"/>
    </row>
    <row r="15" spans="3:7">
      <c r="C15" s="29" t="s">
        <v>116</v>
      </c>
      <c r="D15" s="29" t="s">
        <v>49</v>
      </c>
      <c r="E15" s="29" t="s">
        <v>13</v>
      </c>
      <c r="F15" s="34">
        <v>2</v>
      </c>
      <c r="G15" s="36" t="s">
        <v>80</v>
      </c>
    </row>
    <row r="16" spans="3:7">
      <c r="C16" s="29" t="s">
        <v>44</v>
      </c>
      <c r="D16" s="29" t="s">
        <v>29</v>
      </c>
      <c r="E16" s="29"/>
      <c r="F16" s="34">
        <v>0</v>
      </c>
      <c r="G16" s="36"/>
    </row>
    <row r="17" spans="3:7">
      <c r="C17" s="29" t="s">
        <v>109</v>
      </c>
      <c r="D17" s="29" t="s">
        <v>50</v>
      </c>
      <c r="E17" s="29"/>
      <c r="F17" s="34">
        <v>0</v>
      </c>
      <c r="G17" s="36"/>
    </row>
    <row r="18" spans="3:7">
      <c r="C18" s="29" t="s">
        <v>87</v>
      </c>
      <c r="D18" s="29" t="s">
        <v>51</v>
      </c>
      <c r="E18" s="29"/>
      <c r="F18" s="34">
        <v>0</v>
      </c>
      <c r="G18" s="36"/>
    </row>
    <row r="19" spans="3:7">
      <c r="C19" s="29" t="s">
        <v>118</v>
      </c>
      <c r="D19" s="29" t="s">
        <v>5</v>
      </c>
      <c r="E19" s="29"/>
      <c r="F19" s="34">
        <v>0</v>
      </c>
      <c r="G19" s="36"/>
    </row>
    <row r="20" spans="3:7">
      <c r="C20" s="29" t="s">
        <v>6</v>
      </c>
      <c r="D20" s="29" t="s">
        <v>66</v>
      </c>
      <c r="E20" s="29" t="s">
        <v>45</v>
      </c>
      <c r="F20" s="34">
        <v>5</v>
      </c>
      <c r="G20" s="36" t="s">
        <v>81</v>
      </c>
    </row>
    <row r="21" spans="3:7">
      <c r="C21" s="35" t="s">
        <v>7</v>
      </c>
      <c r="D21" s="29" t="s">
        <v>67</v>
      </c>
      <c r="E21" s="29"/>
      <c r="F21" s="34">
        <v>0</v>
      </c>
      <c r="G21" s="36"/>
    </row>
    <row r="22" spans="3:7">
      <c r="C22" s="29" t="s">
        <v>78</v>
      </c>
      <c r="D22" s="29" t="s">
        <v>68</v>
      </c>
      <c r="E22" s="29"/>
      <c r="F22" s="34">
        <v>0</v>
      </c>
      <c r="G22" s="36"/>
    </row>
    <row r="23" spans="3:7">
      <c r="C23" s="29" t="s">
        <v>28</v>
      </c>
      <c r="D23" s="29" t="s">
        <v>56</v>
      </c>
      <c r="E23" s="29" t="s">
        <v>46</v>
      </c>
      <c r="F23" s="34">
        <v>2</v>
      </c>
      <c r="G23" s="36" t="s">
        <v>82</v>
      </c>
    </row>
    <row r="24" spans="3:7">
      <c r="C24" s="35" t="s">
        <v>69</v>
      </c>
      <c r="D24" s="29" t="s">
        <v>126</v>
      </c>
      <c r="E24" s="29" t="s">
        <v>19</v>
      </c>
      <c r="F24" s="34">
        <v>10</v>
      </c>
      <c r="G24" s="36" t="s">
        <v>133</v>
      </c>
    </row>
    <row r="25" spans="3:7">
      <c r="C25" s="35" t="s">
        <v>93</v>
      </c>
      <c r="D25" s="29" t="s">
        <v>55</v>
      </c>
      <c r="E25" s="29"/>
      <c r="F25" s="34">
        <v>0</v>
      </c>
      <c r="G25" s="36"/>
    </row>
    <row r="26" spans="3:7">
      <c r="C26" s="29" t="s">
        <v>94</v>
      </c>
      <c r="D26" s="29" t="s">
        <v>77</v>
      </c>
      <c r="E26" s="29"/>
      <c r="F26" s="34">
        <v>0</v>
      </c>
      <c r="G26" s="36"/>
    </row>
    <row r="27" spans="3:7">
      <c r="C27" s="29" t="s">
        <v>95</v>
      </c>
      <c r="D27" s="29" t="s">
        <v>71</v>
      </c>
      <c r="E27" s="29" t="s">
        <v>70</v>
      </c>
      <c r="F27" s="34">
        <v>4</v>
      </c>
      <c r="G27" s="36" t="s">
        <v>63</v>
      </c>
    </row>
    <row r="28" spans="3:7">
      <c r="C28" s="29" t="s">
        <v>75</v>
      </c>
      <c r="D28" s="29" t="s">
        <v>105</v>
      </c>
      <c r="E28" s="29" t="s">
        <v>25</v>
      </c>
      <c r="F28" s="34">
        <v>3</v>
      </c>
      <c r="G28" s="36" t="s">
        <v>102</v>
      </c>
    </row>
    <row r="29" spans="3:7" ht="13.15">
      <c r="C29" s="35" t="s">
        <v>103</v>
      </c>
      <c r="D29" s="29" t="s">
        <v>106</v>
      </c>
      <c r="E29" s="31"/>
      <c r="F29" s="34">
        <v>0</v>
      </c>
      <c r="G29" s="36"/>
    </row>
    <row r="30" spans="3:7">
      <c r="C30" s="35" t="s">
        <v>104</v>
      </c>
      <c r="D30" s="29" t="s">
        <v>107</v>
      </c>
      <c r="E30" s="29" t="s">
        <v>129</v>
      </c>
      <c r="F30" s="34">
        <v>2</v>
      </c>
      <c r="G30" s="36" t="s">
        <v>64</v>
      </c>
    </row>
    <row r="31" spans="3:7">
      <c r="C31" s="29" t="s">
        <v>34</v>
      </c>
      <c r="D31" s="29" t="s">
        <v>108</v>
      </c>
      <c r="E31" s="29" t="s">
        <v>90</v>
      </c>
      <c r="F31" s="34">
        <v>1</v>
      </c>
      <c r="G31" s="36">
        <v>48</v>
      </c>
    </row>
    <row r="32" spans="3:7">
      <c r="C32" s="29" t="s">
        <v>35</v>
      </c>
      <c r="D32" s="29" t="s">
        <v>72</v>
      </c>
      <c r="E32" s="29" t="s">
        <v>90</v>
      </c>
      <c r="F32" s="34">
        <v>1</v>
      </c>
      <c r="G32" s="36">
        <v>49</v>
      </c>
    </row>
    <row r="33" spans="3:7">
      <c r="C33" s="29" t="s">
        <v>36</v>
      </c>
      <c r="D33" s="29" t="s">
        <v>73</v>
      </c>
      <c r="E33" s="29"/>
      <c r="F33" s="34">
        <v>0</v>
      </c>
      <c r="G33" s="36"/>
    </row>
    <row r="34" spans="3:7">
      <c r="C34" s="29" t="s">
        <v>37</v>
      </c>
      <c r="D34" s="29" t="s">
        <v>1</v>
      </c>
      <c r="E34" s="29"/>
      <c r="F34" s="34">
        <v>0</v>
      </c>
      <c r="G34" s="36"/>
    </row>
    <row r="35" spans="3:7">
      <c r="C35" s="35" t="s">
        <v>124</v>
      </c>
      <c r="D35" s="29" t="s">
        <v>2</v>
      </c>
      <c r="E35" s="29" t="s">
        <v>14</v>
      </c>
      <c r="F35" s="34">
        <v>2</v>
      </c>
      <c r="G35" s="36" t="s">
        <v>65</v>
      </c>
    </row>
    <row r="36" spans="3:7">
      <c r="C36" s="35" t="s">
        <v>76</v>
      </c>
      <c r="D36" s="29" t="s">
        <v>3</v>
      </c>
      <c r="E36" s="29" t="s">
        <v>45</v>
      </c>
      <c r="F36" s="34">
        <v>4</v>
      </c>
      <c r="G36" s="36" t="s">
        <v>110</v>
      </c>
    </row>
    <row r="37" spans="3:7">
      <c r="C37" s="35" t="s">
        <v>125</v>
      </c>
      <c r="D37" s="29" t="s">
        <v>4</v>
      </c>
      <c r="E37" s="29" t="s">
        <v>12</v>
      </c>
      <c r="F37" s="34">
        <v>2</v>
      </c>
      <c r="G37" s="36" t="s">
        <v>122</v>
      </c>
    </row>
    <row r="38" spans="3:7">
      <c r="C38" s="29" t="s">
        <v>33</v>
      </c>
      <c r="D38" s="29" t="s">
        <v>62</v>
      </c>
      <c r="E38" s="29"/>
      <c r="F38" s="34">
        <v>0</v>
      </c>
      <c r="G38" s="36"/>
    </row>
    <row r="39" spans="3:7">
      <c r="C39" s="29" t="s">
        <v>43</v>
      </c>
      <c r="D39" s="29" t="s">
        <v>96</v>
      </c>
      <c r="E39" s="29" t="s">
        <v>91</v>
      </c>
      <c r="F39" s="34">
        <v>1</v>
      </c>
      <c r="G39" s="36">
        <v>44</v>
      </c>
    </row>
    <row r="40" spans="3:7">
      <c r="C40" s="35" t="s">
        <v>27</v>
      </c>
      <c r="D40" s="29" t="s">
        <v>58</v>
      </c>
      <c r="E40" s="29" t="s">
        <v>128</v>
      </c>
      <c r="F40" s="34">
        <v>5</v>
      </c>
      <c r="G40" s="36" t="s">
        <v>99</v>
      </c>
    </row>
    <row r="41" spans="3:7">
      <c r="C41" s="30" t="s">
        <v>113</v>
      </c>
      <c r="D41" s="33"/>
      <c r="E41" s="33"/>
      <c r="F41" s="33"/>
      <c r="G41" s="36"/>
    </row>
  </sheetData>
  <phoneticPr fontId="2"/>
  <conditionalFormatting sqref="C11:G11">
    <cfRule type="expression" dxfId="18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2409825</xdr:colOff>
                <xdr:row>3</xdr:row>
                <xdr:rowOff>9525</xdr:rowOff>
              </from>
              <to>
                <xdr:col>3</xdr:col>
                <xdr:colOff>3152775</xdr:colOff>
                <xdr:row>4</xdr:row>
                <xdr:rowOff>142875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H30" sqref="H30"/>
    </sheetView>
  </sheetViews>
  <sheetFormatPr defaultRowHeight="12.75"/>
  <cols>
    <col min="3" max="3" width="11" bestFit="1" customWidth="1"/>
    <col min="4" max="4" width="5.265625" bestFit="1" customWidth="1"/>
  </cols>
  <sheetData>
    <row r="10" spans="3:4">
      <c r="C10" s="49" t="s">
        <v>21</v>
      </c>
      <c r="D10" s="49" t="s">
        <v>40</v>
      </c>
    </row>
    <row r="11" spans="3:4">
      <c r="C11" s="44" t="s">
        <v>38</v>
      </c>
      <c r="D11" s="44">
        <f>COUNTIF(QA管理一覧表!Q:Q,"要")</f>
        <v>2</v>
      </c>
    </row>
    <row r="12" spans="3:4">
      <c r="C12" s="44" t="s">
        <v>39</v>
      </c>
      <c r="D12" s="44">
        <f>COUNTIF(QA管理一覧表!X:X,分析一覧!C12)</f>
        <v>0</v>
      </c>
    </row>
    <row r="13" spans="3:4">
      <c r="C13" s="44" t="s">
        <v>114</v>
      </c>
      <c r="D13" s="44">
        <f>COUNTIF(QA管理一覧表!X:X,分析一覧!C13)</f>
        <v>0</v>
      </c>
    </row>
    <row r="14" spans="3:4">
      <c r="C14" s="44" t="s">
        <v>0</v>
      </c>
      <c r="D14" s="44">
        <f>COUNTIF(QA管理一覧表!X:X,分析一覧!C14)</f>
        <v>0</v>
      </c>
    </row>
    <row r="15" spans="3:4">
      <c r="C15" s="44" t="s">
        <v>92</v>
      </c>
      <c r="D15" s="44">
        <f>COUNTIF(QA管理一覧表!X:X,分析一覧!C15)</f>
        <v>0</v>
      </c>
    </row>
    <row r="16" spans="3:4">
      <c r="C16" s="44" t="s">
        <v>113</v>
      </c>
      <c r="D16" s="44">
        <f>SUM(D11:D15)</f>
        <v>2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19"/>
  <sheetViews>
    <sheetView tabSelected="1" zoomScale="130" zoomScaleNormal="130" zoomScaleSheetLayoutView="85" workbookViewId="0">
      <pane xSplit="5" ySplit="3" topLeftCell="M4" activePane="bottomRight" state="frozenSplit"/>
      <selection pane="topRight"/>
      <selection pane="bottomLeft"/>
      <selection pane="bottomRight" activeCell="E13" sqref="E13"/>
    </sheetView>
  </sheetViews>
  <sheetFormatPr defaultColWidth="9" defaultRowHeight="12.75"/>
  <cols>
    <col min="1" max="1" width="7.59765625" style="24" customWidth="1"/>
    <col min="2" max="2" width="12.46484375" style="23" customWidth="1"/>
    <col min="3" max="3" width="20" style="23" customWidth="1"/>
    <col min="4" max="4" width="11.1328125" style="23" customWidth="1"/>
    <col min="5" max="5" width="54.1328125" style="15" customWidth="1"/>
    <col min="6" max="6" width="6.86328125" style="48" customWidth="1"/>
    <col min="7" max="7" width="8.46484375" style="25" customWidth="1"/>
    <col min="8" max="8" width="6.73046875" style="43" customWidth="1"/>
    <col min="9" max="9" width="6.3984375" style="43" customWidth="1"/>
    <col min="10" max="10" width="5.73046875" style="24" bestFit="1" customWidth="1"/>
    <col min="11" max="11" width="8.59765625" style="25" customWidth="1"/>
    <col min="12" max="12" width="7.59765625" style="18" customWidth="1"/>
    <col min="13" max="13" width="7.265625" style="18" customWidth="1"/>
    <col min="14" max="14" width="45.3984375" style="19" customWidth="1"/>
    <col min="15" max="15" width="8.265625" style="20" customWidth="1"/>
    <col min="16" max="16" width="8.3984375" style="19" customWidth="1"/>
    <col min="17" max="17" width="9.86328125" style="19" customWidth="1"/>
    <col min="18" max="19" width="8.73046875" style="20" customWidth="1"/>
    <col min="20" max="20" width="8.46484375" style="25" customWidth="1"/>
    <col min="21" max="21" width="5.59765625" style="24" customWidth="1"/>
    <col min="22" max="22" width="12.1328125" style="23" customWidth="1"/>
    <col min="23" max="23" width="17.46484375" style="23" customWidth="1"/>
    <col min="24" max="24" width="11.3984375" style="22" customWidth="1"/>
    <col min="25" max="16384" width="9" style="22"/>
  </cols>
  <sheetData>
    <row r="1" spans="1:24" s="21" customFormat="1" ht="6.75" customHeight="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spans="1:24" ht="29.25" customHeight="1">
      <c r="A2" s="12" t="s">
        <v>57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61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spans="1:24" s="2" customFormat="1" ht="51.75" customHeight="1">
      <c r="A3" s="6" t="s">
        <v>11</v>
      </c>
      <c r="B3" s="6" t="s">
        <v>119</v>
      </c>
      <c r="C3" s="6" t="s">
        <v>9</v>
      </c>
      <c r="D3" s="6" t="s">
        <v>10</v>
      </c>
      <c r="E3" s="6" t="s">
        <v>127</v>
      </c>
      <c r="F3" s="47" t="s">
        <v>111</v>
      </c>
      <c r="G3" s="7" t="s">
        <v>132</v>
      </c>
      <c r="H3" s="6" t="s">
        <v>121</v>
      </c>
      <c r="I3" s="6" t="s">
        <v>52</v>
      </c>
      <c r="J3" s="6" t="s">
        <v>54</v>
      </c>
      <c r="K3" s="7" t="s">
        <v>53</v>
      </c>
      <c r="L3" s="3" t="s">
        <v>30</v>
      </c>
      <c r="M3" s="3" t="s">
        <v>123</v>
      </c>
      <c r="N3" s="1" t="s">
        <v>42</v>
      </c>
      <c r="O3" s="3" t="s">
        <v>97</v>
      </c>
      <c r="P3" s="1" t="s">
        <v>130</v>
      </c>
      <c r="Q3" s="1" t="s">
        <v>74</v>
      </c>
      <c r="R3" s="3" t="s">
        <v>31</v>
      </c>
      <c r="S3" s="3" t="s">
        <v>16</v>
      </c>
      <c r="T3" s="7" t="s">
        <v>17</v>
      </c>
      <c r="U3" s="6" t="s">
        <v>131</v>
      </c>
      <c r="V3" s="8" t="s">
        <v>88</v>
      </c>
      <c r="W3" s="6" t="s">
        <v>120</v>
      </c>
      <c r="X3" s="6" t="s">
        <v>32</v>
      </c>
    </row>
    <row r="4" spans="1:24" s="21" customFormat="1" ht="24" customHeight="1">
      <c r="A4" s="40">
        <v>1</v>
      </c>
      <c r="B4" s="26" t="s">
        <v>134</v>
      </c>
      <c r="C4" s="26" t="s">
        <v>98</v>
      </c>
      <c r="D4" s="26" t="s">
        <v>101</v>
      </c>
      <c r="E4" s="26" t="s">
        <v>26</v>
      </c>
      <c r="F4" s="26" t="s">
        <v>137</v>
      </c>
      <c r="G4" s="39">
        <v>41429</v>
      </c>
      <c r="H4" s="42" t="s">
        <v>83</v>
      </c>
      <c r="I4" s="42" t="s">
        <v>83</v>
      </c>
      <c r="J4" s="40" t="s">
        <v>112</v>
      </c>
      <c r="K4" s="39">
        <v>41432</v>
      </c>
      <c r="L4" s="27">
        <v>41430</v>
      </c>
      <c r="M4" s="27">
        <v>41431</v>
      </c>
      <c r="N4" s="37" t="s">
        <v>24</v>
      </c>
      <c r="O4" s="27">
        <v>41431</v>
      </c>
      <c r="P4" s="37" t="s">
        <v>84</v>
      </c>
      <c r="Q4" s="38" t="s">
        <v>85</v>
      </c>
      <c r="R4" s="27">
        <v>41431</v>
      </c>
      <c r="S4" s="27">
        <v>41431</v>
      </c>
      <c r="T4" s="5">
        <v>41431</v>
      </c>
      <c r="U4" s="4" t="s">
        <v>100</v>
      </c>
      <c r="V4" s="4" t="s">
        <v>100</v>
      </c>
      <c r="W4" s="4" t="s">
        <v>86</v>
      </c>
      <c r="X4" s="4" t="s">
        <v>86</v>
      </c>
    </row>
    <row r="5" spans="1:24" s="21" customFormat="1" ht="51">
      <c r="A5" s="40">
        <v>1</v>
      </c>
      <c r="B5" s="26" t="s">
        <v>134</v>
      </c>
      <c r="C5" s="26" t="s">
        <v>135</v>
      </c>
      <c r="D5" s="26" t="s">
        <v>136</v>
      </c>
      <c r="E5" s="26" t="s">
        <v>151</v>
      </c>
      <c r="F5" s="26" t="s">
        <v>138</v>
      </c>
      <c r="G5" s="39">
        <v>45086</v>
      </c>
      <c r="H5" s="42" t="s">
        <v>139</v>
      </c>
      <c r="I5" s="42" t="s">
        <v>140</v>
      </c>
      <c r="J5" s="40" t="s">
        <v>147</v>
      </c>
      <c r="K5" s="39">
        <v>45091</v>
      </c>
      <c r="L5" s="27">
        <v>45086</v>
      </c>
      <c r="M5" s="27">
        <v>45090</v>
      </c>
      <c r="N5" s="37" t="s">
        <v>152</v>
      </c>
      <c r="O5" s="27">
        <v>45090</v>
      </c>
      <c r="P5" s="37" t="s">
        <v>150</v>
      </c>
      <c r="Q5" s="38" t="s">
        <v>85</v>
      </c>
      <c r="R5" s="27">
        <v>45089</v>
      </c>
      <c r="S5" s="27">
        <v>45090</v>
      </c>
      <c r="T5" s="5">
        <v>45091</v>
      </c>
      <c r="U5" s="4" t="s">
        <v>100</v>
      </c>
      <c r="V5" s="4" t="s">
        <v>100</v>
      </c>
      <c r="W5" s="4"/>
      <c r="X5" s="4"/>
    </row>
    <row r="6" spans="1:24" s="21" customFormat="1">
      <c r="A6" s="40"/>
      <c r="B6" s="26"/>
      <c r="C6" s="26"/>
      <c r="D6" s="26"/>
      <c r="E6" s="26"/>
      <c r="F6" s="26"/>
      <c r="G6" s="39"/>
      <c r="H6" s="42"/>
      <c r="I6" s="42"/>
      <c r="J6" s="40"/>
      <c r="K6" s="39"/>
      <c r="L6" s="27"/>
      <c r="M6" s="27"/>
      <c r="N6" s="37"/>
      <c r="O6" s="27"/>
      <c r="P6" s="37"/>
      <c r="Q6" s="38"/>
      <c r="R6" s="27"/>
      <c r="S6" s="27"/>
      <c r="T6" s="5"/>
      <c r="U6" s="4"/>
      <c r="V6" s="4"/>
      <c r="W6" s="4"/>
      <c r="X6" s="4"/>
    </row>
    <row r="7" spans="1:24" s="21" customFormat="1">
      <c r="A7" s="40"/>
      <c r="B7" s="26"/>
      <c r="C7" s="26"/>
      <c r="D7" s="26"/>
      <c r="E7" s="26"/>
      <c r="F7" s="26"/>
      <c r="G7" s="39"/>
      <c r="H7" s="42"/>
      <c r="I7" s="42"/>
      <c r="J7" s="40"/>
      <c r="K7" s="39"/>
      <c r="L7" s="27"/>
      <c r="M7" s="27"/>
      <c r="N7" s="37"/>
      <c r="O7" s="27"/>
      <c r="P7" s="37"/>
      <c r="Q7" s="38"/>
      <c r="R7" s="27"/>
      <c r="S7" s="27"/>
      <c r="T7" s="5"/>
      <c r="U7" s="4"/>
      <c r="V7" s="4"/>
      <c r="W7" s="4"/>
      <c r="X7" s="4"/>
    </row>
    <row r="8" spans="1:24" s="21" customFormat="1">
      <c r="A8" s="40"/>
      <c r="B8" s="26"/>
      <c r="C8" s="26"/>
      <c r="D8" s="26"/>
      <c r="E8" s="26"/>
      <c r="F8" s="26"/>
      <c r="G8" s="39"/>
      <c r="H8" s="42"/>
      <c r="I8" s="42"/>
      <c r="J8" s="40"/>
      <c r="K8" s="39"/>
      <c r="L8" s="27"/>
      <c r="M8" s="27"/>
      <c r="N8" s="37"/>
      <c r="O8" s="27"/>
      <c r="P8" s="37"/>
      <c r="Q8" s="38"/>
      <c r="R8" s="27"/>
      <c r="S8" s="27"/>
      <c r="T8" s="5"/>
      <c r="U8" s="4"/>
      <c r="V8" s="4"/>
      <c r="W8" s="4"/>
      <c r="X8" s="4"/>
    </row>
    <row r="9" spans="1:24" s="21" customFormat="1">
      <c r="A9" s="40"/>
      <c r="B9" s="26"/>
      <c r="C9" s="26"/>
      <c r="D9" s="26"/>
      <c r="E9" s="26"/>
      <c r="F9" s="26"/>
      <c r="G9" s="39"/>
      <c r="H9" s="42"/>
      <c r="I9" s="42"/>
      <c r="J9" s="40"/>
      <c r="K9" s="39"/>
      <c r="L9" s="27"/>
      <c r="M9" s="27"/>
      <c r="N9" s="37"/>
      <c r="O9" s="27"/>
      <c r="P9" s="37"/>
      <c r="Q9" s="38"/>
      <c r="R9" s="27"/>
      <c r="S9" s="27"/>
      <c r="T9" s="5"/>
      <c r="U9" s="4"/>
      <c r="V9" s="4"/>
      <c r="W9" s="4"/>
      <c r="X9" s="4"/>
    </row>
    <row r="10" spans="1:24" s="21" customFormat="1">
      <c r="A10" s="40"/>
      <c r="B10" s="26"/>
      <c r="C10" s="26"/>
      <c r="D10" s="26"/>
      <c r="E10" s="26"/>
      <c r="F10" s="26"/>
      <c r="G10" s="39"/>
      <c r="H10" s="42"/>
      <c r="I10" s="42"/>
      <c r="J10" s="40"/>
      <c r="K10" s="39"/>
      <c r="L10" s="27"/>
      <c r="M10" s="27"/>
      <c r="N10" s="37"/>
      <c r="O10" s="27"/>
      <c r="P10" s="37"/>
      <c r="Q10" s="38"/>
      <c r="R10" s="27"/>
      <c r="S10" s="27"/>
      <c r="T10" s="5"/>
      <c r="U10" s="4"/>
      <c r="V10" s="4"/>
      <c r="W10" s="4"/>
      <c r="X10" s="4"/>
    </row>
    <row r="14" spans="1:24">
      <c r="N14" s="19" t="s">
        <v>149</v>
      </c>
    </row>
    <row r="17" spans="9:14">
      <c r="I17" s="50" t="s">
        <v>142</v>
      </c>
      <c r="K17" s="51" t="s">
        <v>141</v>
      </c>
      <c r="N17" s="19" t="s">
        <v>148</v>
      </c>
    </row>
    <row r="18" spans="9:14">
      <c r="I18" s="50" t="s">
        <v>143</v>
      </c>
      <c r="K18" s="51" t="s">
        <v>144</v>
      </c>
    </row>
    <row r="19" spans="9:14">
      <c r="I19" s="50" t="s">
        <v>146</v>
      </c>
      <c r="K19" s="51" t="s">
        <v>145</v>
      </c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1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3"/>
      <headerFooter alignWithMargins="0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5"/>
      <headerFooter alignWithMargins="0"/>
      <autoFilter ref="B1:AE1" xr:uid="{00566C2A-889C-4788-8D55-15037974E9C9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6"/>
      <headerFooter alignWithMargins="0"/>
      <autoFilter ref="B1:AE1" xr:uid="{1DE61EB3-C51B-4B21-90FD-E8DB46ADE294}">
        <filterColumn colId="12">
          <filters blank="1"/>
        </filterColumn>
      </autoFilter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7"/>
      <headerFooter alignWithMargins="0"/>
      <autoFilter ref="B1:AE1" xr:uid="{D1BEBA76-0B39-4E2D-A68F-24D8FAB5578B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8"/>
      <headerFooter alignWithMargins="0"/>
      <autoFilter ref="B1:AE1" xr:uid="{8F0B4A44-6497-42FB-8571-67EBCD18B0B6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606D1EB0-C75F-4564-8ADA-EB4EC6BE07B4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0"/>
      <headerFooter alignWithMargins="0"/>
      <autoFilter ref="B1:AE1" xr:uid="{D7549A90-03D1-43B3-A948-70F701FF4B0E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1"/>
      <headerFooter alignWithMargins="0"/>
      <autoFilter ref="B1:AE1" xr:uid="{EA6B37AC-AAE9-4E10-885F-D417C4A2B006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2"/>
      <headerFooter alignWithMargins="0"/>
      <autoFilter ref="B1:AE1" xr:uid="{5936A37A-F782-423C-A7AC-ACDCBF4DC90E}"/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E4D06B0A-F6E4-4D04-BE94-45741DBBC413}"/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4"/>
      <headerFooter alignWithMargins="0">
        <oddFooter>&amp;C&amp;P/&amp;N</oddFooter>
      </headerFooter>
      <autoFilter ref="B1:AE1" xr:uid="{F102E210-46DB-429C-B45A-A29452F6578F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5"/>
      <headerFooter alignWithMargins="0"/>
      <autoFilter ref="B1:AE1" xr:uid="{673282FB-769F-4293-BBFE-BB9EEAFD0EA6}">
        <filterColumn colId="1">
          <filters>
            <filter val="2.4.1_個別審査"/>
          </filters>
        </filterColumn>
      </autoFilter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6"/>
      <headerFooter alignWithMargins="0"/>
      <autoFilter ref="B1:AE1" xr:uid="{A4C33567-78C9-4FD4-A897-F2B29BB67BDD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D047C2E1-2E2C-41A5-9DB9-25FF0409DB96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18"/>
      <headerFooter alignWithMargins="0"/>
      <autoFilter ref="B1:AE1" xr:uid="{FDC18014-32DF-4D25-A88C-E22E52568057}"/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19"/>
      <headerFooter alignWithMargins="0"/>
      <autoFilter ref="B1:AE1" xr:uid="{AE01D963-9D82-4899-BE2B-02B513EA234F}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20"/>
      <headerFooter alignWithMargins="0"/>
      <autoFilter ref="B1:AE1" xr:uid="{619D7A83-D165-49EF-9747-18718231C8CF}">
        <filterColumn colId="12">
          <filters blank="1"/>
        </filterColumn>
      </autoFilter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21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23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25"/>
      <headerFooter alignWithMargins="0"/>
    </customSheetView>
  </customSheetViews>
  <phoneticPr fontId="28"/>
  <conditionalFormatting sqref="A2:A3 J2:J3 U3:X3 B3:I3 L2:L3 K3:S3 F4 T2:T10 U4:U10 L11:U65536 J11:J65536">
    <cfRule type="expression" dxfId="17" priority="59880" stopIfTrue="1">
      <formula>$U2="済"</formula>
    </cfRule>
  </conditionalFormatting>
  <conditionalFormatting sqref="X1:IV2 Y4:IV9 X11:IV62596">
    <cfRule type="expression" dxfId="16" priority="59909" stopIfTrue="1">
      <formula>$T2="済"</formula>
    </cfRule>
  </conditionalFormatting>
  <conditionalFormatting sqref="X62597:IV62733">
    <cfRule type="expression" dxfId="15" priority="59919" stopIfTrue="1">
      <formula>$T65537="済"</formula>
    </cfRule>
  </conditionalFormatting>
  <conditionalFormatting sqref="X62734:IV65536">
    <cfRule type="expression" dxfId="14" priority="59911" stopIfTrue="1">
      <formula>#REF!="済"</formula>
    </cfRule>
  </conditionalFormatting>
  <conditionalFormatting sqref="A62054:I62239 K62054:K62239 E62040:E62225">
    <cfRule type="expression" dxfId="13" priority="59907" stopIfTrue="1">
      <formula>#REF!="済"</formula>
    </cfRule>
  </conditionalFormatting>
  <conditionalFormatting sqref="A62608:I65536 K62608:K65536 E62594:E65536">
    <cfRule type="expression" dxfId="12" priority="59901" stopIfTrue="1">
      <formula>#REF!="済"</formula>
    </cfRule>
  </conditionalFormatting>
  <conditionalFormatting sqref="A62240:I62398 K62240:K62398 E62226:E62384">
    <cfRule type="expression" dxfId="11" priority="59914" stopIfTrue="1">
      <formula>#REF!="済"</formula>
    </cfRule>
  </conditionalFormatting>
  <conditionalFormatting sqref="A62399:I62406 K62399:K62406 E62385:E62392">
    <cfRule type="expression" dxfId="10" priority="59906" stopIfTrue="1">
      <formula>#REF!="済"</formula>
    </cfRule>
  </conditionalFormatting>
  <conditionalFormatting sqref="A62407:I62607 K62407:K62607 E62393:E62593">
    <cfRule type="expression" dxfId="9" priority="59916" stopIfTrue="1">
      <formula>#REF!="済"</formula>
    </cfRule>
  </conditionalFormatting>
  <conditionalFormatting sqref="Y10:IV10">
    <cfRule type="expression" dxfId="8" priority="62856" stopIfTrue="1">
      <formula>#REF!="済"</formula>
    </cfRule>
  </conditionalFormatting>
  <conditionalFormatting sqref="A4:S10">
    <cfRule type="expression" dxfId="7" priority="59917" stopIfTrue="1">
      <formula>($N4&lt;&gt;"")</formula>
    </cfRule>
  </conditionalFormatting>
  <conditionalFormatting sqref="A11:I62053 K11:K62053">
    <cfRule type="expression" dxfId="6" priority="59890" stopIfTrue="1">
      <formula>$U20="済"</formula>
    </cfRule>
  </conditionalFormatting>
  <conditionalFormatting sqref="L4:S10">
    <cfRule type="expression" dxfId="5" priority="62846" stopIfTrue="1">
      <formula>($M4&lt;&gt;"")</formula>
    </cfRule>
  </conditionalFormatting>
  <conditionalFormatting sqref="V4:W10">
    <cfRule type="expression" dxfId="4" priority="60029" stopIfTrue="1">
      <formula>OR(AND($Q4="要",$V4="済"),$Q4="否",$V4="済",AND($N4&lt;&gt;"",OR($Q4="否",$Q4=""),OR($V4="反映不要",$V4="")))</formula>
    </cfRule>
    <cfRule type="expression" dxfId="3" priority="60030" stopIfTrue="1">
      <formula>($Q4="要")</formula>
    </cfRule>
  </conditionalFormatting>
  <conditionalFormatting sqref="X4:X10">
    <cfRule type="expression" dxfId="2" priority="61459" stopIfTrue="1">
      <formula>OR(AND($Q4&lt;&gt;"要",$X4&lt;&gt;""),$Q4="要")</formula>
    </cfRule>
    <cfRule type="expression" dxfId="1" priority="61460" stopIfTrue="1">
      <formula>AND($Q4&lt;&gt;"要",$X4="")</formula>
    </cfRule>
  </conditionalFormatting>
  <conditionalFormatting sqref="Y3:IV3">
    <cfRule type="expression" dxfId="0" priority="10696" stopIfTrue="1">
      <formula>#REF!="済"</formula>
    </cfRule>
  </conditionalFormatting>
  <dataValidations count="6">
    <dataValidation allowBlank="1" sqref="B4:B10" xr:uid="{00000000-0002-0000-0200-000000000000}"/>
    <dataValidation type="list" allowBlank="1" showInputMessage="1" showErrorMessage="1" sqref="V4:V10" xr:uid="{00000000-0002-0000-0200-000001000000}">
      <formula1>"反映不要,未反映,済"</formula1>
    </dataValidation>
    <dataValidation type="list" allowBlank="1" showInputMessage="1" showErrorMessage="1" sqref="Q4:Q10" xr:uid="{00000000-0002-0000-0200-000002000000}">
      <formula1>"要,否"</formula1>
    </dataValidation>
    <dataValidation type="list" allowBlank="1" showInputMessage="1" showErrorMessage="1" sqref="X4:X10" xr:uid="{00000000-0002-0000-0200-000003000000}">
      <formula1>"仕様変更,資料不備,仕様不明確,理解不足,確認事項"</formula1>
    </dataValidation>
    <dataValidation type="list" showInputMessage="1" showErrorMessage="1" sqref="U3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8511-A5C0-42FF-908A-417DDAFB6D77}">
  <dimension ref="A1"/>
  <sheetViews>
    <sheetView workbookViewId="0"/>
  </sheetViews>
  <sheetFormatPr defaultRowHeight="12.7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統計結果</vt:lpstr>
      <vt:lpstr>分析一覧</vt:lpstr>
      <vt:lpstr>QA管理一覧表</vt:lpstr>
      <vt:lpstr>NO.1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張勇</cp:lastModifiedBy>
  <cp:lastPrinted>2013-06-20T09:21:52Z</cp:lastPrinted>
  <dcterms:created xsi:type="dcterms:W3CDTF">2009-03-13T12:52:04Z</dcterms:created>
  <dcterms:modified xsi:type="dcterms:W3CDTF">2023-06-09T07:31:38Z</dcterms:modified>
</cp:coreProperties>
</file>